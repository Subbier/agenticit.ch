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Übersicht" sheetId="1" state="visible" r:id="rId3"/>
    <sheet name="Katalog" sheetId="2" state="visible" r:id="rId4"/>
  </sheets>
  <definedNames>
    <definedName function="false" hidden="true" localSheetId="1" name="_xlnm._FilterDatabase" vbProcedure="false">Katalog!$A$1:$J$42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<sst xmlns="http://schemas.openxmlformats.org/spreadsheetml/2006/main" count="396" uniqueCount="289">
  <si>
    <t xml:space="preserve">AgenticIT  ·  Automatisierungs-Katalog</t>
  </si>
  <si>
    <t xml:space="preserve">Kunden betreuen · halten · überraschen · begeistern</t>
  </si>
  <si>
    <t xml:space="preserve">Branchenübergreifende, n8n-taugliche Automationen entlang des gesamten Kunden-Lebenszyklus. Jede Zeile ist ein einsatzbereiter Workflow-Baustein – filterbar nach Phase, Aufwand und Branche.</t>
  </si>
  <si>
    <t xml:space="preserve">Phasen-Übersicht</t>
  </si>
  <si>
    <t xml:space="preserve">Phase</t>
  </si>
  <si>
    <t xml:space="preserve">Fokus</t>
  </si>
  <si>
    <t xml:space="preserve">Anzahl</t>
  </si>
  <si>
    <t xml:space="preserve">Betreuen</t>
  </si>
  <si>
    <t xml:space="preserve">Onboarding &amp; Service</t>
  </si>
  <si>
    <t xml:space="preserve">Halten</t>
  </si>
  <si>
    <t xml:space="preserve">Bindung &amp; Churn-Schutz</t>
  </si>
  <si>
    <t xml:space="preserve">Überraschen</t>
  </si>
  <si>
    <t xml:space="preserve">Unerwartete Freude</t>
  </si>
  <si>
    <t xml:space="preserve">Begeistern</t>
  </si>
  <si>
    <t xml:space="preserve">Wow &amp; Weiterempfehlung</t>
  </si>
  <si>
    <t xml:space="preserve">Gesamt</t>
  </si>
  <si>
    <t xml:space="preserve">Hinweis: Alle kundengerichteten KI-Assistenten klar als KI kennzeichnen (AI-Disclosure). Automatisierte Mails/Outreach vor Versand menschlich prüfen (Human-in-the-loop). DSGVO-konform halten.</t>
  </si>
  <si>
    <t xml:space="preserve">Nr.</t>
  </si>
  <si>
    <t xml:space="preserve">Automatisierung / Use Case</t>
  </si>
  <si>
    <t xml:space="preserve">Auslöser (Trigger)</t>
  </si>
  <si>
    <t xml:space="preserve">Ablauf (kurz)</t>
  </si>
  <si>
    <t xml:space="preserve">Tools &amp; Integrationen (n8n)</t>
  </si>
  <si>
    <t xml:space="preserve">Aufwand</t>
  </si>
  <si>
    <t xml:space="preserve">ROI-Wirkung</t>
  </si>
  <si>
    <t xml:space="preserve">Branchen</t>
  </si>
  <si>
    <t xml:space="preserve">Compliance-Hinweis</t>
  </si>
  <si>
    <t xml:space="preserve">Lead-Willkommens-Onboarding</t>
  </si>
  <si>
    <t xml:space="preserve">Neuer Lead/Kontakt im CRM</t>
  </si>
  <si>
    <t xml:space="preserve">Personalisierte Willkommens-Mail + Ressourcen-Paket + erste Schritte automatisch versenden.</t>
  </si>
  <si>
    <t xml:space="preserve">CRM (HubSpot/Zoho/Pipedrive), Gmail/SMTP, OpenAI</t>
  </si>
  <si>
    <t xml:space="preserve">Niedrig</t>
  </si>
  <si>
    <t xml:space="preserve">Schnellerer Erstkontakt, +Conversion</t>
  </si>
  <si>
    <t xml:space="preserve">Alle</t>
  </si>
  <si>
    <t xml:space="preserve">DSGVO: Double-Opt-in beachten</t>
  </si>
  <si>
    <t xml:space="preserve">Lead-Scoring &amp; Auto-Routing</t>
  </si>
  <si>
    <t xml:space="preserve">Neuer Lead trifft ein</t>
  </si>
  <si>
    <t xml:space="preserve">KI bewertet Lead-Qualität und weist ihn dem passenden Berater/Team zu.</t>
  </si>
  <si>
    <t xml:space="preserve">Webhook, OpenAI, CRM, Slack</t>
  </si>
  <si>
    <t xml:space="preserve">Mittel</t>
  </si>
  <si>
    <t xml:space="preserve">Hot Leads zuerst, schnellere Reaktion</t>
  </si>
  <si>
    <t xml:space="preserve">—</t>
  </si>
  <si>
    <t xml:space="preserve">Termin-Erinnerungen (E-Mail/SMS)</t>
  </si>
  <si>
    <t xml:space="preserve">Kalendereintrag 24h/1h vorher</t>
  </si>
  <si>
    <t xml:space="preserve">Automatische Reminder reduzieren No-Shows; Bestätigungs-Link inklusive.</t>
  </si>
  <si>
    <t xml:space="preserve">Google Calendar, Twilio, SMTP</t>
  </si>
  <si>
    <t xml:space="preserve">-30-50% No-Shows</t>
  </si>
  <si>
    <t xml:space="preserve">Alle, Gesundheit, Beratung</t>
  </si>
  <si>
    <t xml:space="preserve">DSGVO: SMS-Einwilligung</t>
  </si>
  <si>
    <t xml:space="preserve">No-Show-Recovery</t>
  </si>
  <si>
    <t xml:space="preserve">Termin verpasst (kein Erscheinen)</t>
  </si>
  <si>
    <t xml:space="preserve">Automatische, freundliche Reschedule-Sequenz mit neuem Buchungslink.</t>
  </si>
  <si>
    <t xml:space="preserve">Calendar, Cal.com/Calendly, SMTP</t>
  </si>
  <si>
    <t xml:space="preserve">Wiedergewonnene Termine</t>
  </si>
  <si>
    <t xml:space="preserve">Alle, Immobilien, Coaching</t>
  </si>
  <si>
    <t xml:space="preserve">Dokumenten-Anforderung &amp; Eingang</t>
  </si>
  <si>
    <t xml:space="preserve">Pflichtdokument fehlt im Vorgang</t>
  </si>
  <si>
    <t xml:space="preserve">Automatische Nachfrage mit Upload-Link; Eingang wird im CRM protokolliert.</t>
  </si>
  <si>
    <t xml:space="preserve">CRM, Webhook, Cloud-Storage, SMTP</t>
  </si>
  <si>
    <t xml:space="preserve">Weniger manuelles Nachhaken</t>
  </si>
  <si>
    <t xml:space="preserve">Versicherung, Kanzlei, Bank</t>
  </si>
  <si>
    <t xml:space="preserve">DSGVO: sichere Übertragung</t>
  </si>
  <si>
    <t xml:space="preserve">Support-Ticket Auto-Triage</t>
  </si>
  <si>
    <t xml:space="preserve">Eingehende Support-Mail/Ticket</t>
  </si>
  <si>
    <t xml:space="preserve">KI klassifiziert Anliegen, priorisiert und routet ans richtige Team.</t>
  </si>
  <si>
    <t xml:space="preserve">Helpdesk (Zammad/Freshdesk), OpenAI</t>
  </si>
  <si>
    <t xml:space="preserve">Schnellere Lösungszeit</t>
  </si>
  <si>
    <t xml:space="preserve">Alle, SaaS, E-Commerce</t>
  </si>
  <si>
    <t xml:space="preserve">KI-Kennzeichnung intern</t>
  </si>
  <si>
    <t xml:space="preserve">FAQ-KI-Assistent (Website)</t>
  </si>
  <si>
    <t xml:space="preserve">Besucher stellt Frage im Chat</t>
  </si>
  <si>
    <t xml:space="preserve">KI-Assistent beantwortet Standardfragen 24/7 und eskaliert bei Bedarf an Mensch.</t>
  </si>
  <si>
    <t xml:space="preserve">Chat-Widget, OpenAI, CRM</t>
  </si>
  <si>
    <t xml:space="preserve">Entlastung Team, schnellere Antwort</t>
  </si>
  <si>
    <t xml:space="preserve">AI-Disclosure: 'Ich bin ein KI-Assistent von...' Pflicht</t>
  </si>
  <si>
    <t xml:space="preserve">Rückruf-Automatik bei verpasstem Anruf</t>
  </si>
  <si>
    <t xml:space="preserve">Verpasster eingehender Anruf</t>
  </si>
  <si>
    <t xml:space="preserve">SMS mit Entschuldigung + Self-Service-Buchungslink für Rückruf.</t>
  </si>
  <si>
    <t xml:space="preserve">Telefonie (Aircall/Twilio), Calendar</t>
  </si>
  <si>
    <t xml:space="preserve">Kein verlorener Lead</t>
  </si>
  <si>
    <t xml:space="preserve">Alle, Handwerk, Praxis</t>
  </si>
  <si>
    <t xml:space="preserve">Angebots-Follow-up-Sequenz</t>
  </si>
  <si>
    <t xml:space="preserve">Angebot/Offerte versendet</t>
  </si>
  <si>
    <t xml:space="preserve">Automatische Erinnerungen nach 2/5/10 Tagen mit Mehrwert statt Druck.</t>
  </si>
  <si>
    <t xml:space="preserve">CRM, SMTP, OpenAI</t>
  </si>
  <si>
    <t xml:space="preserve">+15-25% Abschlussquote</t>
  </si>
  <si>
    <t xml:space="preserve">Alle, B2B, Agentur</t>
  </si>
  <si>
    <t xml:space="preserve">Human-in-the-loop vor Versand</t>
  </si>
  <si>
    <t xml:space="preserve">Proaktive Status-Updates</t>
  </si>
  <si>
    <t xml:space="preserve">Projekt-/Auftragsphase wechselt</t>
  </si>
  <si>
    <t xml:space="preserve">Kunde erhält automatisch verständliches Fortschritts-Update.</t>
  </si>
  <si>
    <t xml:space="preserve">CRM/PM-Tool, SMTP, Slack</t>
  </si>
  <si>
    <t xml:space="preserve">Weniger Nachfragen, mehr Vertrauen</t>
  </si>
  <si>
    <t xml:space="preserve">Agentur, Handwerk, Bau</t>
  </si>
  <si>
    <t xml:space="preserve">Vertragsverlängerungs-Reminder</t>
  </si>
  <si>
    <t xml:space="preserve">Vertrag läuft in 60/30 Tagen aus</t>
  </si>
  <si>
    <t xml:space="preserve">Renewal-Sequenz mit Nutzen-Zusammenfassung + Verlängerungs-Termin.</t>
  </si>
  <si>
    <t xml:space="preserve">CRM, Calendar, SMTP</t>
  </si>
  <si>
    <t xml:space="preserve">Höhere Renewal-Rate</t>
  </si>
  <si>
    <t xml:space="preserve">Versicherung, SaaS, Abo</t>
  </si>
  <si>
    <t xml:space="preserve">Human-in-the-loop</t>
  </si>
  <si>
    <t xml:space="preserve">Churn-Frühwarnsystem</t>
  </si>
  <si>
    <t xml:space="preserve">Nutzungsabfall / Inaktivität erkannt</t>
  </si>
  <si>
    <t xml:space="preserve">Score sinkt → Alert an Account Manager + automatische Win-back-Aktion.</t>
  </si>
  <si>
    <t xml:space="preserve">Analytics, CRM, Slack, OpenAI</t>
  </si>
  <si>
    <t xml:space="preserve">Hoch</t>
  </si>
  <si>
    <t xml:space="preserve">Churn-Reduktion vor Kündigung</t>
  </si>
  <si>
    <t xml:space="preserve">SaaS, Abo, Fitness</t>
  </si>
  <si>
    <t xml:space="preserve">NPS-/Zufriedenheits-Umfrage</t>
  </si>
  <si>
    <t xml:space="preserve">Nach Meilenstein/Lieferung</t>
  </si>
  <si>
    <t xml:space="preserve">Automatische Umfrage; Routing nach Score (Promotor vs. Kritiker).</t>
  </si>
  <si>
    <t xml:space="preserve">Typeform/Tally, CRM, OpenAI</t>
  </si>
  <si>
    <t xml:space="preserve">Frühe Insights, Steuerung</t>
  </si>
  <si>
    <t xml:space="preserve">DSGVO-konforme Tools</t>
  </si>
  <si>
    <t xml:space="preserve">Negativ-Feedback-Eskalation</t>
  </si>
  <si>
    <t xml:space="preserve">Schlechte Bewertung/niedriger Score</t>
  </si>
  <si>
    <t xml:space="preserve">Sofort-Alert an Verantwortlichen + vorbereiteter Recovery-Entwurf.</t>
  </si>
  <si>
    <t xml:space="preserve">Webhook, Slack, CRM, OpenAI</t>
  </si>
  <si>
    <t xml:space="preserve">Beschwerden retten Kunden</t>
  </si>
  <si>
    <t xml:space="preserve">Alle, Gastro, E-Commerce</t>
  </si>
  <si>
    <t xml:space="preserve">Win-back inaktive Kunden</t>
  </si>
  <si>
    <t xml:space="preserve">90 Tage keine Aktivität</t>
  </si>
  <si>
    <t xml:space="preserve">Reaktivierungs-Sequenz mit personalisiertem Anreiz/Offer.</t>
  </si>
  <si>
    <t xml:space="preserve">CRM, E-Mail-Tool, OpenAI</t>
  </si>
  <si>
    <t xml:space="preserve">Reaktivierte Umsätze</t>
  </si>
  <si>
    <t xml:space="preserve">Alle, E-Commerce, Abo</t>
  </si>
  <si>
    <t xml:space="preserve">DSGVO: Werbe-Einwilligung</t>
  </si>
  <si>
    <t xml:space="preserve">Failed-Payment-Recovery (Dunning)</t>
  </si>
  <si>
    <t xml:space="preserve">Zahlung fehlgeschlagen</t>
  </si>
  <si>
    <t xml:space="preserve">Freundliche, gestaffelte Reminder + Self-Service-Update der Zahlung.</t>
  </si>
  <si>
    <t xml:space="preserve">Stripe, SMTP, CRM</t>
  </si>
  <si>
    <t xml:space="preserve">Weniger unfreiwilliger Churn</t>
  </si>
  <si>
    <t xml:space="preserve">SaaS, Abo, E-Commerce</t>
  </si>
  <si>
    <t xml:space="preserve">Quarterly Business Review</t>
  </si>
  <si>
    <t xml:space="preserve">Quartalsende erreicht</t>
  </si>
  <si>
    <t xml:space="preserve">Automatischer Erfolgs-Report + Terminvorschlag für Review-Call.</t>
  </si>
  <si>
    <t xml:space="preserve">CRM, Sheets/Looker, Calendar</t>
  </si>
  <si>
    <t xml:space="preserve">Stärkere Kundenbindung B2B</t>
  </si>
  <si>
    <t xml:space="preserve">B2B, Agentur, SaaS</t>
  </si>
  <si>
    <t xml:space="preserve">Cross-/Upsell-Trigger</t>
  </si>
  <si>
    <t xml:space="preserve">Nutzungs-/Erfolgs-Schwelle erreicht</t>
  </si>
  <si>
    <t xml:space="preserve">Passendes Zusatzangebot zum richtigen Moment automatisch ausspielen.</t>
  </si>
  <si>
    <t xml:space="preserve">CRM, Analytics, OpenAI, SMTP</t>
  </si>
  <si>
    <t xml:space="preserve">+Umsatz je Bestandskunde</t>
  </si>
  <si>
    <t xml:space="preserve">Alle, SaaS, Versicherung</t>
  </si>
  <si>
    <t xml:space="preserve">Kündigung abfangen (Save-Flow)</t>
  </si>
  <si>
    <t xml:space="preserve">Kündigungsabsicht erkannt</t>
  </si>
  <si>
    <t xml:space="preserve">Alternativen (Pause, Downgrade, Bonus) automatisch anbieten statt Verlust.</t>
  </si>
  <si>
    <t xml:space="preserve">CRM, Webhook, SMTP</t>
  </si>
  <si>
    <t xml:space="preserve">Gerettete Verträge</t>
  </si>
  <si>
    <t xml:space="preserve">Abo, SaaS, Fitness</t>
  </si>
  <si>
    <t xml:space="preserve">Transparent, keine Dark Patterns</t>
  </si>
  <si>
    <t xml:space="preserve">Treue-/Loyalitäts-Tracking</t>
  </si>
  <si>
    <t xml:space="preserve">Kundenaktivität/Käufe</t>
  </si>
  <si>
    <t xml:space="preserve">Punkte automatisch gutschreiben + Status-Update + Belohnungs-Trigger.</t>
  </si>
  <si>
    <t xml:space="preserve">CRM/Loyalty, Sheets, SMTP</t>
  </si>
  <si>
    <t xml:space="preserve">Wiederkaufrate steigt</t>
  </si>
  <si>
    <t xml:space="preserve">E-Commerce, Gastro, Retail</t>
  </si>
  <si>
    <t xml:space="preserve">DSGVO: Profilbildung beachten</t>
  </si>
  <si>
    <t xml:space="preserve">Geplante Check-in-Calls</t>
  </si>
  <si>
    <t xml:space="preserve">X Tage nach Onboarding</t>
  </si>
  <si>
    <t xml:space="preserve">Automatischer Terminvorschlag für Zufriedenheits-Check-in.</t>
  </si>
  <si>
    <t xml:space="preserve">Frühe Bindung, weniger Churn</t>
  </si>
  <si>
    <t xml:space="preserve">B2B, Beratung, Coaching</t>
  </si>
  <si>
    <t xml:space="preserve">Geburtstags-/Jahrestags-Gruß</t>
  </si>
  <si>
    <t xml:space="preserve">Datum aus Kontaktprofil erreicht</t>
  </si>
  <si>
    <t xml:space="preserve">Persönlicher Gruß, optional mit kleinem Gutschein/Aufmerksamkeit.</t>
  </si>
  <si>
    <t xml:space="preserve">Emotionale Bindung</t>
  </si>
  <si>
    <t xml:space="preserve">Alle, Retail, Praxis</t>
  </si>
  <si>
    <t xml:space="preserve">DSGVO: Geburtsdatum-Zweckbindung</t>
  </si>
  <si>
    <t xml:space="preserve">Meilenstein-Feier</t>
  </si>
  <si>
    <t xml:space="preserve">Kunde erreicht Nutzungs-/Jubiläums-Marke</t>
  </si>
  <si>
    <t xml:space="preserve">Automatischer Glückwunsch + ggf. kleines Geschenk/Badge.</t>
  </si>
  <si>
    <t xml:space="preserve">Analytics, CRM, SMTP</t>
  </si>
  <si>
    <t xml:space="preserve">Wow-Moment, Loyalität</t>
  </si>
  <si>
    <t xml:space="preserve">SaaS, Fitness, Community</t>
  </si>
  <si>
    <t xml:space="preserve">Überraschungs-Upgrade</t>
  </si>
  <si>
    <t xml:space="preserve">Treuekriterium erfüllt</t>
  </si>
  <si>
    <t xml:space="preserve">Unangekündigtes temporäres Premium-Feature freischalten + Info-Mail.</t>
  </si>
  <si>
    <t xml:space="preserve">CRM, App-API, SMTP</t>
  </si>
  <si>
    <t xml:space="preserve">Begeisterung, Upgrade-Lust</t>
  </si>
  <si>
    <t xml:space="preserve">SaaS, Abo, App</t>
  </si>
  <si>
    <t xml:space="preserve">Handgeschriebene-Karten-Automatik</t>
  </si>
  <si>
    <t xml:space="preserve">Wichtiger Anlass (Abschluss/Jubiläum)</t>
  </si>
  <si>
    <t xml:space="preserve">Print-Service löst echte handgeschriebene Karte aus.</t>
  </si>
  <si>
    <t xml:space="preserve">CRM, Handwritten/Pingen API</t>
  </si>
  <si>
    <t xml:space="preserve">Hohe Erinnerungswirkung</t>
  </si>
  <si>
    <t xml:space="preserve">Immobilien, B2B, Premium</t>
  </si>
  <si>
    <t xml:space="preserve">Personalisiertes Video-Dankeschön</t>
  </si>
  <si>
    <t xml:space="preserve">Vertragsabschluss / Kauf</t>
  </si>
  <si>
    <t xml:space="preserve">Automatisiert personalisiertes Dankesvideo erzeugen und senden.</t>
  </si>
  <si>
    <t xml:space="preserve">CRM, Video-API (Bhuman/Tavus), SMTP</t>
  </si>
  <si>
    <t xml:space="preserve">Differenzierung, Begeisterung</t>
  </si>
  <si>
    <t xml:space="preserve">Agentur, Coaching, B2B</t>
  </si>
  <si>
    <t xml:space="preserve">AI-Disclosure bei KI-Avatar</t>
  </si>
  <si>
    <t xml:space="preserve">Kontext-/Event-basierte Aufmerksamkeit</t>
  </si>
  <si>
    <t xml:space="preserve">Lokales Event/Wetter/Anlass</t>
  </si>
  <si>
    <t xml:space="preserve">Kontextbezogene, relevante Geste automatisch auslösen.</t>
  </si>
  <si>
    <t xml:space="preserve">Wetter/Event-API, CRM, SMTP</t>
  </si>
  <si>
    <t xml:space="preserve">Relevanz überrascht</t>
  </si>
  <si>
    <t xml:space="preserve">Retail, Gastro, Tourismus</t>
  </si>
  <si>
    <t xml:space="preserve">Empfehlungs-Belohnung (beidseitig)</t>
  </si>
  <si>
    <t xml:space="preserve">Kunde empfiehlt erfolgreich</t>
  </si>
  <si>
    <t xml:space="preserve">Beide Seiten erhalten automatisch eine Belohnung + Danke.</t>
  </si>
  <si>
    <t xml:space="preserve">Referral-Tool, CRM, SMTP</t>
  </si>
  <si>
    <t xml:space="preserve">Viral-Loop, günstige Leads</t>
  </si>
  <si>
    <t xml:space="preserve">Alle, E-Commerce, SaaS</t>
  </si>
  <si>
    <t xml:space="preserve">DSGVO bei Drittkontakt</t>
  </si>
  <si>
    <t xml:space="preserve">Erster-Erfolg-Gratulation</t>
  </si>
  <si>
    <t xml:space="preserve">Kunde erreicht ersten Aha-Moment</t>
  </si>
  <si>
    <t xml:space="preserve">Sofort-Glückwunsch + nächster sinnvoller Schritt.</t>
  </si>
  <si>
    <t xml:space="preserve">Analytics, CRM, SMTP, OpenAI</t>
  </si>
  <si>
    <t xml:space="preserve">Aktivierung, Begeisterung</t>
  </si>
  <si>
    <t xml:space="preserve">SaaS, App, Coaching</t>
  </si>
  <si>
    <t xml:space="preserve">Welcome-Box bei Abschluss</t>
  </si>
  <si>
    <t xml:space="preserve">Deal gewonnen / Vertrag unterzeichnet</t>
  </si>
  <si>
    <t xml:space="preserve">Automatisch Geschenk-/Welcome-Box bestellen und Versand triggern.</t>
  </si>
  <si>
    <t xml:space="preserve">CRM, Fulfillment-API, SMTP</t>
  </si>
  <si>
    <t xml:space="preserve">Starker erster Eindruck</t>
  </si>
  <si>
    <t xml:space="preserve">B2B, Premium, Agentur</t>
  </si>
  <si>
    <t xml:space="preserve">Spontaner Loyalitäts-Bonus</t>
  </si>
  <si>
    <t xml:space="preserve">Zufallsauswahl treuer Kunden</t>
  </si>
  <si>
    <t xml:space="preserve">Unerwarteter Bonus/Upgrade für ausgewählte Stammkunden.</t>
  </si>
  <si>
    <t xml:space="preserve">CRM, Sheets, SMTP</t>
  </si>
  <si>
    <t xml:space="preserve">Unerwartete Freude, Buzz</t>
  </si>
  <si>
    <t xml:space="preserve">Retail, Gastro, Abo</t>
  </si>
  <si>
    <t xml:space="preserve">Fairness/Transparenz</t>
  </si>
  <si>
    <t xml:space="preserve">Jahres-Rückblick (Wrapped)</t>
  </si>
  <si>
    <t xml:space="preserve">Jahresende erreicht</t>
  </si>
  <si>
    <t xml:space="preserve">Hyper-personalisierter Daten-Rückblick als Wow-Erlebnis.</t>
  </si>
  <si>
    <t xml:space="preserve">Analytics, OpenAI, Canva/Design-API</t>
  </si>
  <si>
    <t xml:space="preserve">Hohe Teil-Rate, Advocacy</t>
  </si>
  <si>
    <t xml:space="preserve">SaaS, App, Fitness</t>
  </si>
  <si>
    <t xml:space="preserve">DSGVO: nur eigene Daten</t>
  </si>
  <si>
    <t xml:space="preserve">Proaktiver Service vor dem Problem</t>
  </si>
  <si>
    <t xml:space="preserve">Predictive Alert (Frühindikator)</t>
  </si>
  <si>
    <t xml:space="preserve">Kunde wird kontaktiert, bevor er das Problem überhaupt bemerkt.</t>
  </si>
  <si>
    <t xml:space="preserve">Monitoring, OpenAI, CRM, Slack</t>
  </si>
  <si>
    <t xml:space="preserve">Maximales Vertrauen</t>
  </si>
  <si>
    <t xml:space="preserve">SaaS, IT, Technik</t>
  </si>
  <si>
    <t xml:space="preserve">Review-Anfrage zum Peak-Moment</t>
  </si>
  <si>
    <t xml:space="preserve">Höchste Zufriedenheit erkannt</t>
  </si>
  <si>
    <t xml:space="preserve">Bewertungsanfrage genau im besten Moment automatisch senden.</t>
  </si>
  <si>
    <t xml:space="preserve">CRM, NPS, Google/Trustpilot, SMTP</t>
  </si>
  <si>
    <t xml:space="preserve">Mehr &amp; bessere Reviews</t>
  </si>
  <si>
    <t xml:space="preserve">Alle, lokal, E-Commerce</t>
  </si>
  <si>
    <t xml:space="preserve">Keine Anreiz-Manipulation</t>
  </si>
  <si>
    <t xml:space="preserve">Case-Study-Einladung Top-Kunden</t>
  </si>
  <si>
    <t xml:space="preserve">Erfolgskriterien erfüllt</t>
  </si>
  <si>
    <t xml:space="preserve">Automatische Einladung zur gemeinsamen Erfolgsgeschichte.</t>
  </si>
  <si>
    <t xml:space="preserve">CRM, OpenAI, SMTP</t>
  </si>
  <si>
    <t xml:space="preserve">Social Proof, Referenzen</t>
  </si>
  <si>
    <t xml:space="preserve">Einwilligung zur Nennung</t>
  </si>
  <si>
    <t xml:space="preserve">VIP-Concierge-Routing</t>
  </si>
  <si>
    <t xml:space="preserve">Top-Tier-Kunde meldet sich</t>
  </si>
  <si>
    <t xml:space="preserve">Priorisiertes Handling + fester persönlicher Ansprechpartner.</t>
  </si>
  <si>
    <t xml:space="preserve">CRM, Helpdesk, Slack</t>
  </si>
  <si>
    <t xml:space="preserve">Premium-Erlebnis, Bindung</t>
  </si>
  <si>
    <t xml:space="preserve">Banking, Premium, B2B</t>
  </si>
  <si>
    <t xml:space="preserve">Exklusive Event-/Community-Einladung</t>
  </si>
  <si>
    <t xml:space="preserve">Segment-/Wertkriterium erfüllt</t>
  </si>
  <si>
    <t xml:space="preserve">Automatische Einladung zu exklusivem Event oder Community.</t>
  </si>
  <si>
    <t xml:space="preserve">CRM, Event-Tool, SMTP</t>
  </si>
  <si>
    <t xml:space="preserve">Zugehörigkeit, Loyalität</t>
  </si>
  <si>
    <t xml:space="preserve">SaaS, Coaching, Premium</t>
  </si>
  <si>
    <t xml:space="preserve">DSGVO: Segmentierung</t>
  </si>
  <si>
    <t xml:space="preserve">KI-Content-Empfehlung</t>
  </si>
  <si>
    <t xml:space="preserve">Verhalten/Interessen erkannt</t>
  </si>
  <si>
    <t xml:space="preserve">KI kuratiert und sendet hochrelevante Inhalte personalisiert.</t>
  </si>
  <si>
    <t xml:space="preserve">Analytics, OpenAI, CMS, SMTP</t>
  </si>
  <si>
    <t xml:space="preserve">Engagement, Mehrwert</t>
  </si>
  <si>
    <t xml:space="preserve">Medien, SaaS, Bildung</t>
  </si>
  <si>
    <t xml:space="preserve">AI-Disclosure wo nötig</t>
  </si>
  <si>
    <t xml:space="preserve">Onboarding-Gamification</t>
  </si>
  <si>
    <t xml:space="preserve">Onboarding-Schritt abgeschlossen</t>
  </si>
  <si>
    <t xml:space="preserve">Badges, Fortschritt und kleine Belohnungen automatisch vergeben.</t>
  </si>
  <si>
    <t xml:space="preserve">App-API, CRM, SMTP</t>
  </si>
  <si>
    <t xml:space="preserve">Höhere Aktivierung</t>
  </si>
  <si>
    <t xml:space="preserve">SaaS, App, Bildung</t>
  </si>
  <si>
    <t xml:space="preserve">Wow-Impact-Report</t>
  </si>
  <si>
    <t xml:space="preserve">Meilenstein/Projektabschluss</t>
  </si>
  <si>
    <t xml:space="preserve">Schön gestalteter Erfolgs-Report mit klaren Resultaten automatisch.</t>
  </si>
  <si>
    <t xml:space="preserve">Sheets/Looker, Canva-API, SMTP</t>
  </si>
  <si>
    <t xml:space="preserve">Sichtbarer ROI, Verlängerung</t>
  </si>
  <si>
    <t xml:space="preserve">Agentur, B2B, Beratung</t>
  </si>
  <si>
    <t xml:space="preserve">Referral-Loop mit Social-Proof</t>
  </si>
  <si>
    <t xml:space="preserve">Begeisterter Kunde (Promotor)</t>
  </si>
  <si>
    <t xml:space="preserve">Empfehlungs-Einladung + fertige Teilen-Vorlagen automatisch ausspielen.</t>
  </si>
  <si>
    <t xml:space="preserve">CRM, Referral-Tool, Social-API</t>
  </si>
  <si>
    <t xml:space="preserve">Skalierbare Mund-zu-Mund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</si>
</sst>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2A3F"/>
      <name val="Arial"/>
      <family val="0"/>
      <charset val="1"/>
    </font>
    <font>
      <i val="true"/>
      <sz val="12"/>
      <color rgb="FF1FB6A6"/>
      <name val="Arial"/>
      <family val="0"/>
      <charset val="1"/>
    </font>
    <font>
      <sz val="10"/>
      <color rgb="FF34495E"/>
      <name val="Arial"/>
      <family val="0"/>
      <charset val="1"/>
    </font>
    <font>
      <b val="true"/>
      <sz val="13"/>
      <color rgb="FF0F2A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34495E"/>
      <name val="Arial"/>
      <family val="0"/>
      <charset val="1"/>
    </font>
    <font>
      <b val="true"/>
      <sz val="11"/>
      <color rgb="FF0F2A3F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F2A3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C3E5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F2A3F"/>
        <bgColor rgb="FF2C3E50"/>
      </patternFill>
    </fill>
    <fill>
      <patternFill patternType="solid">
        <fgColor rgb="FF2E86C1"/>
        <bgColor rgb="FF16A085"/>
      </patternFill>
    </fill>
    <fill>
      <patternFill patternType="solid">
        <fgColor rgb="FFE67E22"/>
        <bgColor rgb="FFFF9900"/>
      </patternFill>
    </fill>
    <fill>
      <patternFill patternType="solid">
        <fgColor rgb="FF8E44AD"/>
        <bgColor rgb="FF993366"/>
      </patternFill>
    </fill>
    <fill>
      <patternFill patternType="solid">
        <fgColor rgb="FF16A085"/>
        <bgColor rgb="FF1FB6A6"/>
      </patternFill>
    </fill>
    <fill>
      <patternFill patternType="solid">
        <fgColor rgb="FFFFFFFF"/>
        <bgColor rgb="FFF2F4F5"/>
      </patternFill>
    </fill>
    <fill>
      <patternFill patternType="solid">
        <fgColor rgb="FFF2F4F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DB"/>
      </left>
      <right style="thin">
        <color rgb="FFD5DBDB"/>
      </right>
      <top style="thin">
        <color rgb="FFD5DBDB"/>
      </top>
      <bottom style="thin">
        <color rgb="FFD5DB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F2A3F"/>
          <bgColor rgb="FF000000"/>
        </patternFill>
      </fill>
    </dxf>
    <dxf>
      <fill>
        <patternFill patternType="solid">
          <fgColor rgb="FFF2F4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6A085"/>
          <bgColor rgb="FF000000"/>
        </patternFill>
      </fill>
    </dxf>
    <dxf>
      <fill>
        <patternFill patternType="solid">
          <fgColor rgb="FF2E86C1"/>
          <bgColor rgb="FF000000"/>
        </patternFill>
      </fill>
    </dxf>
    <dxf>
      <fill>
        <patternFill patternType="solid">
          <fgColor rgb="FF8E44AD"/>
          <bgColor rgb="FF000000"/>
        </patternFill>
      </fill>
    </dxf>
    <dxf>
      <fill>
        <patternFill patternType="solid">
          <fgColor rgb="FFE67E22"/>
          <bgColor rgb="FF000000"/>
        </patternFill>
      </fill>
    </dxf>
    <dxf>
      <fill>
        <patternFill patternType="solid">
          <fgColor rgb="FF2C3E5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9999FF"/>
      <rgbColor rgb="FF8E44AD"/>
      <rgbColor rgb="FFF2F4F5"/>
      <rgbColor rgb="FFCCFFFF"/>
      <rgbColor rgb="FF660066"/>
      <rgbColor rgb="FFFF8080"/>
      <rgbColor rgb="FF0066CC"/>
      <rgbColor rgb="FFD5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1FB6A6"/>
      <rgbColor rgb="FF99CC00"/>
      <rgbColor rgb="FFFFCC00"/>
      <rgbColor rgb="FFFF9900"/>
      <rgbColor rgb="FFE67E22"/>
      <rgbColor rgb="FF666699"/>
      <rgbColor rgb="FF969696"/>
      <rgbColor rgb="FF0F2A3F"/>
      <rgbColor rgb="FF16A085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true" outlineLevel="0" collapsed="false">
      <c r="B5" s="3" t="s">
        <v>2</v>
      </c>
      <c r="C5" s="3"/>
      <c r="D5" s="3"/>
      <c r="E5" s="3"/>
      <c r="F5" s="3"/>
    </row>
    <row r="6" customFormat="false" ht="15" hidden="false" customHeight="false" outlineLevel="0" collapsed="false">
      <c r="B6" s="3"/>
      <c r="C6" s="3"/>
      <c r="D6" s="3"/>
      <c r="E6" s="3"/>
      <c r="F6" s="3"/>
    </row>
    <row r="8" customFormat="false" ht="16.15" hidden="false" customHeight="false" outlineLevel="0" collapsed="false">
      <c r="B8" s="4" t="s">
        <v>3</v>
      </c>
    </row>
    <row r="9" customFormat="false" ht="15" hidden="false" customHeight="false" outlineLevel="0" collapsed="false">
      <c r="B9" s="5" t="s">
        <v>4</v>
      </c>
      <c r="C9" s="5" t="s">
        <v>5</v>
      </c>
      <c r="D9" s="5" t="s">
        <v>6</v>
      </c>
    </row>
    <row r="10" customFormat="false" ht="15" hidden="false" customHeight="false" outlineLevel="0" collapsed="false">
      <c r="B10" s="6" t="s">
        <v>7</v>
      </c>
      <c r="C10" s="7" t="s">
        <v>8</v>
      </c>
      <c r="D10" s="8" t="n">
        <f aca="false">COUNTIF(Katalog!B:B,"Betreuen")</f>
        <v>10</v>
      </c>
    </row>
    <row r="11" customFormat="false" ht="15" hidden="false" customHeight="false" outlineLevel="0" collapsed="false">
      <c r="B11" s="9" t="s">
        <v>9</v>
      </c>
      <c r="C11" s="7" t="s">
        <v>10</v>
      </c>
      <c r="D11" s="8" t="n">
        <f aca="false">COUNTIF(Katalog!B:B,"Halten")</f>
        <v>11</v>
      </c>
    </row>
    <row r="12" customFormat="false" ht="15" hidden="false" customHeight="false" outlineLevel="0" collapsed="false">
      <c r="B12" s="10" t="s">
        <v>11</v>
      </c>
      <c r="C12" s="7" t="s">
        <v>12</v>
      </c>
      <c r="D12" s="8" t="n">
        <f aca="false">COUNTIF(Katalog!B:B,"Überraschen")</f>
        <v>10</v>
      </c>
    </row>
    <row r="13" customFormat="false" ht="15" hidden="false" customHeight="false" outlineLevel="0" collapsed="false">
      <c r="B13" s="11" t="s">
        <v>13</v>
      </c>
      <c r="C13" s="7" t="s">
        <v>14</v>
      </c>
      <c r="D13" s="8" t="n">
        <f aca="false">COUNTIF(Katalog!B:B,"Begeistern")</f>
        <v>10</v>
      </c>
    </row>
    <row r="14" customFormat="false" ht="15" hidden="false" customHeight="false" outlineLevel="0" collapsed="false">
      <c r="B14" s="12" t="s">
        <v>15</v>
      </c>
      <c r="C14" s="13"/>
      <c r="D14" s="14" t="n">
        <f aca="false">SUM(D10:D13)</f>
        <v>41</v>
      </c>
    </row>
    <row r="16" customFormat="false" ht="15" hidden="false" customHeight="true" outlineLevel="0" collapsed="false">
      <c r="B16" s="15" t="s">
        <v>16</v>
      </c>
      <c r="C16" s="15"/>
      <c r="D16" s="15"/>
      <c r="E16" s="15"/>
      <c r="F16" s="15"/>
    </row>
    <row r="17" customFormat="false" ht="15" hidden="false" customHeight="false" outlineLevel="0" collapsed="false">
      <c r="B17" s="15"/>
      <c r="C17" s="15"/>
      <c r="D17" s="15"/>
      <c r="E17" s="15"/>
      <c r="F17" s="15"/>
    </row>
  </sheetData>
  <mergeCells count="2">
    <mergeCell ref="B5:F6"/>
    <mergeCell ref="B16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30"/>
    <col collapsed="false" customWidth="true" hidden="false" outlineLevel="0" max="5" min="5" style="0" width="52"/>
    <col collapsed="false" customWidth="true" hidden="false" outlineLevel="0" max="6" min="6" style="0" width="34"/>
    <col collapsed="false" customWidth="true" hidden="false" outlineLevel="0" max="7" min="7" style="0" width="10"/>
    <col collapsed="false" customWidth="true" hidden="false" outlineLevel="0" max="8" min="8" style="0" width="28"/>
    <col collapsed="false" customWidth="true" hidden="false" outlineLevel="0" max="9" min="9" style="0" width="26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6" t="s">
        <v>17</v>
      </c>
      <c r="B1" s="16" t="s">
        <v>4</v>
      </c>
      <c r="C1" s="16" t="s">
        <v>18</v>
      </c>
      <c r="D1" s="16" t="s">
        <v>19</v>
      </c>
      <c r="E1" s="16" t="s">
        <v>20</v>
      </c>
      <c r="F1" s="16" t="s">
        <v>21</v>
      </c>
      <c r="G1" s="16" t="s">
        <v>22</v>
      </c>
      <c r="H1" s="16" t="s">
        <v>23</v>
      </c>
      <c r="I1" s="16" t="s">
        <v>24</v>
      </c>
      <c r="J1" s="16" t="s">
        <v>25</v>
      </c>
    </row>
    <row r="2" customFormat="false" ht="22.35" hidden="false" customHeight="false" outlineLevel="0" collapsed="false">
      <c r="A2" s="17" t="n">
        <v>1</v>
      </c>
      <c r="B2" s="18" t="s">
        <v>7</v>
      </c>
      <c r="C2" s="19" t="s">
        <v>26</v>
      </c>
      <c r="D2" s="19" t="s">
        <v>27</v>
      </c>
      <c r="E2" s="19" t="s">
        <v>28</v>
      </c>
      <c r="F2" s="19" t="s">
        <v>29</v>
      </c>
      <c r="G2" s="20" t="s">
        <v>30</v>
      </c>
      <c r="H2" s="19" t="s">
        <v>31</v>
      </c>
      <c r="I2" s="19" t="s">
        <v>32</v>
      </c>
      <c r="J2" s="19" t="s">
        <v>33</v>
      </c>
    </row>
    <row r="3" customFormat="false" ht="22.35" hidden="false" customHeight="false" outlineLevel="0" collapsed="false">
      <c r="A3" s="21" t="n">
        <v>2</v>
      </c>
      <c r="B3" s="18" t="s">
        <v>7</v>
      </c>
      <c r="C3" s="22" t="s">
        <v>34</v>
      </c>
      <c r="D3" s="22" t="s">
        <v>35</v>
      </c>
      <c r="E3" s="22" t="s">
        <v>36</v>
      </c>
      <c r="F3" s="22" t="s">
        <v>37</v>
      </c>
      <c r="G3" s="20" t="s">
        <v>38</v>
      </c>
      <c r="H3" s="22" t="s">
        <v>39</v>
      </c>
      <c r="I3" s="22" t="s">
        <v>32</v>
      </c>
      <c r="J3" s="22" t="s">
        <v>40</v>
      </c>
    </row>
    <row r="4" customFormat="false" ht="22.35" hidden="false" customHeight="false" outlineLevel="0" collapsed="false">
      <c r="A4" s="17" t="n">
        <v>3</v>
      </c>
      <c r="B4" s="18" t="s">
        <v>7</v>
      </c>
      <c r="C4" s="19" t="s">
        <v>41</v>
      </c>
      <c r="D4" s="19" t="s">
        <v>42</v>
      </c>
      <c r="E4" s="19" t="s">
        <v>43</v>
      </c>
      <c r="F4" s="19" t="s">
        <v>44</v>
      </c>
      <c r="G4" s="20" t="s">
        <v>30</v>
      </c>
      <c r="H4" s="19" t="s">
        <v>45</v>
      </c>
      <c r="I4" s="19" t="s">
        <v>46</v>
      </c>
      <c r="J4" s="19" t="s">
        <v>47</v>
      </c>
    </row>
    <row r="5" customFormat="false" ht="22.35" hidden="false" customHeight="false" outlineLevel="0" collapsed="false">
      <c r="A5" s="21" t="n">
        <v>4</v>
      </c>
      <c r="B5" s="18" t="s">
        <v>7</v>
      </c>
      <c r="C5" s="22" t="s">
        <v>48</v>
      </c>
      <c r="D5" s="22" t="s">
        <v>49</v>
      </c>
      <c r="E5" s="22" t="s">
        <v>50</v>
      </c>
      <c r="F5" s="22" t="s">
        <v>51</v>
      </c>
      <c r="G5" s="20" t="s">
        <v>30</v>
      </c>
      <c r="H5" s="22" t="s">
        <v>52</v>
      </c>
      <c r="I5" s="22" t="s">
        <v>53</v>
      </c>
      <c r="J5" s="22" t="s">
        <v>40</v>
      </c>
    </row>
    <row r="6" customFormat="false" ht="22.35" hidden="false" customHeight="false" outlineLevel="0" collapsed="false">
      <c r="A6" s="17" t="n">
        <v>5</v>
      </c>
      <c r="B6" s="18" t="s">
        <v>7</v>
      </c>
      <c r="C6" s="19" t="s">
        <v>54</v>
      </c>
      <c r="D6" s="19" t="s">
        <v>55</v>
      </c>
      <c r="E6" s="19" t="s">
        <v>56</v>
      </c>
      <c r="F6" s="19" t="s">
        <v>57</v>
      </c>
      <c r="G6" s="20" t="s">
        <v>38</v>
      </c>
      <c r="H6" s="19" t="s">
        <v>58</v>
      </c>
      <c r="I6" s="19" t="s">
        <v>59</v>
      </c>
      <c r="J6" s="19" t="s">
        <v>60</v>
      </c>
    </row>
    <row r="7" customFormat="false" ht="15" hidden="false" customHeight="false" outlineLevel="0" collapsed="false">
      <c r="A7" s="21" t="n">
        <v>6</v>
      </c>
      <c r="B7" s="18" t="s">
        <v>7</v>
      </c>
      <c r="C7" s="22" t="s">
        <v>61</v>
      </c>
      <c r="D7" s="22" t="s">
        <v>62</v>
      </c>
      <c r="E7" s="22" t="s">
        <v>63</v>
      </c>
      <c r="F7" s="22" t="s">
        <v>64</v>
      </c>
      <c r="G7" s="20" t="s">
        <v>38</v>
      </c>
      <c r="H7" s="22" t="s">
        <v>65</v>
      </c>
      <c r="I7" s="22" t="s">
        <v>66</v>
      </c>
      <c r="J7" s="22" t="s">
        <v>67</v>
      </c>
    </row>
    <row r="8" customFormat="false" ht="22.35" hidden="false" customHeight="false" outlineLevel="0" collapsed="false">
      <c r="A8" s="17" t="n">
        <v>7</v>
      </c>
      <c r="B8" s="18" t="s">
        <v>7</v>
      </c>
      <c r="C8" s="19" t="s">
        <v>68</v>
      </c>
      <c r="D8" s="19" t="s">
        <v>69</v>
      </c>
      <c r="E8" s="19" t="s">
        <v>70</v>
      </c>
      <c r="F8" s="19" t="s">
        <v>71</v>
      </c>
      <c r="G8" s="20" t="s">
        <v>38</v>
      </c>
      <c r="H8" s="19" t="s">
        <v>72</v>
      </c>
      <c r="I8" s="19" t="s">
        <v>32</v>
      </c>
      <c r="J8" s="19" t="s">
        <v>73</v>
      </c>
    </row>
    <row r="9" customFormat="false" ht="22.35" hidden="false" customHeight="false" outlineLevel="0" collapsed="false">
      <c r="A9" s="21" t="n">
        <v>8</v>
      </c>
      <c r="B9" s="18" t="s">
        <v>7</v>
      </c>
      <c r="C9" s="22" t="s">
        <v>74</v>
      </c>
      <c r="D9" s="22" t="s">
        <v>75</v>
      </c>
      <c r="E9" s="22" t="s">
        <v>76</v>
      </c>
      <c r="F9" s="22" t="s">
        <v>77</v>
      </c>
      <c r="G9" s="20" t="s">
        <v>30</v>
      </c>
      <c r="H9" s="22" t="s">
        <v>78</v>
      </c>
      <c r="I9" s="22" t="s">
        <v>79</v>
      </c>
      <c r="J9" s="22" t="s">
        <v>47</v>
      </c>
    </row>
    <row r="10" customFormat="false" ht="22.35" hidden="false" customHeight="false" outlineLevel="0" collapsed="false">
      <c r="A10" s="17" t="n">
        <v>9</v>
      </c>
      <c r="B10" s="18" t="s">
        <v>7</v>
      </c>
      <c r="C10" s="19" t="s">
        <v>80</v>
      </c>
      <c r="D10" s="19" t="s">
        <v>81</v>
      </c>
      <c r="E10" s="19" t="s">
        <v>82</v>
      </c>
      <c r="F10" s="19" t="s">
        <v>83</v>
      </c>
      <c r="G10" s="20" t="s">
        <v>30</v>
      </c>
      <c r="H10" s="19" t="s">
        <v>84</v>
      </c>
      <c r="I10" s="19" t="s">
        <v>85</v>
      </c>
      <c r="J10" s="19" t="s">
        <v>86</v>
      </c>
    </row>
    <row r="11" customFormat="false" ht="22.35" hidden="false" customHeight="false" outlineLevel="0" collapsed="false">
      <c r="A11" s="21" t="n">
        <v>10</v>
      </c>
      <c r="B11" s="18" t="s">
        <v>7</v>
      </c>
      <c r="C11" s="22" t="s">
        <v>87</v>
      </c>
      <c r="D11" s="22" t="s">
        <v>88</v>
      </c>
      <c r="E11" s="22" t="s">
        <v>89</v>
      </c>
      <c r="F11" s="22" t="s">
        <v>90</v>
      </c>
      <c r="G11" s="20" t="s">
        <v>30</v>
      </c>
      <c r="H11" s="22" t="s">
        <v>91</v>
      </c>
      <c r="I11" s="22" t="s">
        <v>92</v>
      </c>
      <c r="J11" s="22" t="s">
        <v>40</v>
      </c>
    </row>
    <row r="12" customFormat="false" ht="22.35" hidden="false" customHeight="false" outlineLevel="0" collapsed="false">
      <c r="A12" s="17" t="n">
        <v>11</v>
      </c>
      <c r="B12" s="23" t="s">
        <v>9</v>
      </c>
      <c r="C12" s="19" t="s">
        <v>93</v>
      </c>
      <c r="D12" s="19" t="s">
        <v>94</v>
      </c>
      <c r="E12" s="19" t="s">
        <v>95</v>
      </c>
      <c r="F12" s="19" t="s">
        <v>96</v>
      </c>
      <c r="G12" s="20" t="s">
        <v>30</v>
      </c>
      <c r="H12" s="19" t="s">
        <v>97</v>
      </c>
      <c r="I12" s="19" t="s">
        <v>98</v>
      </c>
      <c r="J12" s="19" t="s">
        <v>99</v>
      </c>
    </row>
    <row r="13" customFormat="false" ht="22.35" hidden="false" customHeight="false" outlineLevel="0" collapsed="false">
      <c r="A13" s="21" t="n">
        <v>12</v>
      </c>
      <c r="B13" s="23" t="s">
        <v>9</v>
      </c>
      <c r="C13" s="22" t="s">
        <v>100</v>
      </c>
      <c r="D13" s="22" t="s">
        <v>101</v>
      </c>
      <c r="E13" s="22" t="s">
        <v>102</v>
      </c>
      <c r="F13" s="22" t="s">
        <v>103</v>
      </c>
      <c r="G13" s="20" t="s">
        <v>104</v>
      </c>
      <c r="H13" s="22" t="s">
        <v>105</v>
      </c>
      <c r="I13" s="22" t="s">
        <v>106</v>
      </c>
      <c r="J13" s="22" t="s">
        <v>40</v>
      </c>
    </row>
    <row r="14" customFormat="false" ht="15" hidden="false" customHeight="false" outlineLevel="0" collapsed="false">
      <c r="A14" s="17" t="n">
        <v>13</v>
      </c>
      <c r="B14" s="23" t="s">
        <v>9</v>
      </c>
      <c r="C14" s="19" t="s">
        <v>107</v>
      </c>
      <c r="D14" s="19" t="s">
        <v>108</v>
      </c>
      <c r="E14" s="19" t="s">
        <v>109</v>
      </c>
      <c r="F14" s="19" t="s">
        <v>110</v>
      </c>
      <c r="G14" s="20" t="s">
        <v>30</v>
      </c>
      <c r="H14" s="19" t="s">
        <v>111</v>
      </c>
      <c r="I14" s="19" t="s">
        <v>32</v>
      </c>
      <c r="J14" s="19" t="s">
        <v>112</v>
      </c>
    </row>
    <row r="15" customFormat="false" ht="15" hidden="false" customHeight="false" outlineLevel="0" collapsed="false">
      <c r="A15" s="21" t="n">
        <v>14</v>
      </c>
      <c r="B15" s="23" t="s">
        <v>9</v>
      </c>
      <c r="C15" s="22" t="s">
        <v>113</v>
      </c>
      <c r="D15" s="22" t="s">
        <v>114</v>
      </c>
      <c r="E15" s="22" t="s">
        <v>115</v>
      </c>
      <c r="F15" s="22" t="s">
        <v>116</v>
      </c>
      <c r="G15" s="20" t="s">
        <v>30</v>
      </c>
      <c r="H15" s="22" t="s">
        <v>117</v>
      </c>
      <c r="I15" s="22" t="s">
        <v>118</v>
      </c>
      <c r="J15" s="22" t="s">
        <v>99</v>
      </c>
    </row>
    <row r="16" customFormat="false" ht="15" hidden="false" customHeight="false" outlineLevel="0" collapsed="false">
      <c r="A16" s="17" t="n">
        <v>15</v>
      </c>
      <c r="B16" s="23" t="s">
        <v>9</v>
      </c>
      <c r="C16" s="19" t="s">
        <v>119</v>
      </c>
      <c r="D16" s="19" t="s">
        <v>120</v>
      </c>
      <c r="E16" s="19" t="s">
        <v>121</v>
      </c>
      <c r="F16" s="19" t="s">
        <v>122</v>
      </c>
      <c r="G16" s="20" t="s">
        <v>38</v>
      </c>
      <c r="H16" s="19" t="s">
        <v>123</v>
      </c>
      <c r="I16" s="19" t="s">
        <v>124</v>
      </c>
      <c r="J16" s="19" t="s">
        <v>125</v>
      </c>
    </row>
    <row r="17" customFormat="false" ht="22.35" hidden="false" customHeight="false" outlineLevel="0" collapsed="false">
      <c r="A17" s="21" t="n">
        <v>16</v>
      </c>
      <c r="B17" s="23" t="s">
        <v>9</v>
      </c>
      <c r="C17" s="22" t="s">
        <v>126</v>
      </c>
      <c r="D17" s="22" t="s">
        <v>127</v>
      </c>
      <c r="E17" s="22" t="s">
        <v>128</v>
      </c>
      <c r="F17" s="22" t="s">
        <v>129</v>
      </c>
      <c r="G17" s="20" t="s">
        <v>30</v>
      </c>
      <c r="H17" s="22" t="s">
        <v>130</v>
      </c>
      <c r="I17" s="22" t="s">
        <v>131</v>
      </c>
      <c r="J17" s="22" t="s">
        <v>40</v>
      </c>
    </row>
    <row r="18" customFormat="false" ht="15" hidden="false" customHeight="false" outlineLevel="0" collapsed="false">
      <c r="A18" s="17" t="n">
        <v>17</v>
      </c>
      <c r="B18" s="23" t="s">
        <v>9</v>
      </c>
      <c r="C18" s="19" t="s">
        <v>132</v>
      </c>
      <c r="D18" s="19" t="s">
        <v>133</v>
      </c>
      <c r="E18" s="19" t="s">
        <v>134</v>
      </c>
      <c r="F18" s="19" t="s">
        <v>135</v>
      </c>
      <c r="G18" s="20" t="s">
        <v>38</v>
      </c>
      <c r="H18" s="19" t="s">
        <v>136</v>
      </c>
      <c r="I18" s="19" t="s">
        <v>137</v>
      </c>
      <c r="J18" s="19" t="s">
        <v>40</v>
      </c>
    </row>
    <row r="19" customFormat="false" ht="22.35" hidden="false" customHeight="false" outlineLevel="0" collapsed="false">
      <c r="A19" s="21" t="n">
        <v>18</v>
      </c>
      <c r="B19" s="23" t="s">
        <v>9</v>
      </c>
      <c r="C19" s="22" t="s">
        <v>138</v>
      </c>
      <c r="D19" s="22" t="s">
        <v>139</v>
      </c>
      <c r="E19" s="22" t="s">
        <v>140</v>
      </c>
      <c r="F19" s="22" t="s">
        <v>141</v>
      </c>
      <c r="G19" s="20" t="s">
        <v>38</v>
      </c>
      <c r="H19" s="22" t="s">
        <v>142</v>
      </c>
      <c r="I19" s="22" t="s">
        <v>143</v>
      </c>
      <c r="J19" s="22" t="s">
        <v>99</v>
      </c>
    </row>
    <row r="20" customFormat="false" ht="22.35" hidden="false" customHeight="false" outlineLevel="0" collapsed="false">
      <c r="A20" s="17" t="n">
        <v>19</v>
      </c>
      <c r="B20" s="23" t="s">
        <v>9</v>
      </c>
      <c r="C20" s="19" t="s">
        <v>144</v>
      </c>
      <c r="D20" s="19" t="s">
        <v>145</v>
      </c>
      <c r="E20" s="19" t="s">
        <v>146</v>
      </c>
      <c r="F20" s="19" t="s">
        <v>147</v>
      </c>
      <c r="G20" s="20" t="s">
        <v>38</v>
      </c>
      <c r="H20" s="19" t="s">
        <v>148</v>
      </c>
      <c r="I20" s="19" t="s">
        <v>149</v>
      </c>
      <c r="J20" s="19" t="s">
        <v>150</v>
      </c>
    </row>
    <row r="21" customFormat="false" ht="22.35" hidden="false" customHeight="false" outlineLevel="0" collapsed="false">
      <c r="A21" s="21" t="n">
        <v>20</v>
      </c>
      <c r="B21" s="23" t="s">
        <v>9</v>
      </c>
      <c r="C21" s="22" t="s">
        <v>151</v>
      </c>
      <c r="D21" s="22" t="s">
        <v>152</v>
      </c>
      <c r="E21" s="22" t="s">
        <v>153</v>
      </c>
      <c r="F21" s="22" t="s">
        <v>154</v>
      </c>
      <c r="G21" s="20" t="s">
        <v>38</v>
      </c>
      <c r="H21" s="22" t="s">
        <v>155</v>
      </c>
      <c r="I21" s="22" t="s">
        <v>156</v>
      </c>
      <c r="J21" s="22" t="s">
        <v>157</v>
      </c>
    </row>
    <row r="22" customFormat="false" ht="15" hidden="false" customHeight="false" outlineLevel="0" collapsed="false">
      <c r="A22" s="17" t="n">
        <v>21</v>
      </c>
      <c r="B22" s="23" t="s">
        <v>9</v>
      </c>
      <c r="C22" s="19" t="s">
        <v>158</v>
      </c>
      <c r="D22" s="19" t="s">
        <v>159</v>
      </c>
      <c r="E22" s="19" t="s">
        <v>160</v>
      </c>
      <c r="F22" s="19" t="s">
        <v>96</v>
      </c>
      <c r="G22" s="20" t="s">
        <v>30</v>
      </c>
      <c r="H22" s="19" t="s">
        <v>161</v>
      </c>
      <c r="I22" s="19" t="s">
        <v>162</v>
      </c>
      <c r="J22" s="19" t="s">
        <v>40</v>
      </c>
    </row>
    <row r="23" customFormat="false" ht="15" hidden="false" customHeight="false" outlineLevel="0" collapsed="false">
      <c r="A23" s="21" t="n">
        <v>22</v>
      </c>
      <c r="B23" s="24" t="s">
        <v>11</v>
      </c>
      <c r="C23" s="22" t="s">
        <v>163</v>
      </c>
      <c r="D23" s="22" t="s">
        <v>164</v>
      </c>
      <c r="E23" s="22" t="s">
        <v>165</v>
      </c>
      <c r="F23" s="22" t="s">
        <v>83</v>
      </c>
      <c r="G23" s="20" t="s">
        <v>30</v>
      </c>
      <c r="H23" s="22" t="s">
        <v>166</v>
      </c>
      <c r="I23" s="22" t="s">
        <v>167</v>
      </c>
      <c r="J23" s="22" t="s">
        <v>168</v>
      </c>
    </row>
    <row r="24" customFormat="false" ht="22.35" hidden="false" customHeight="false" outlineLevel="0" collapsed="false">
      <c r="A24" s="17" t="n">
        <v>23</v>
      </c>
      <c r="B24" s="24" t="s">
        <v>11</v>
      </c>
      <c r="C24" s="19" t="s">
        <v>169</v>
      </c>
      <c r="D24" s="19" t="s">
        <v>170</v>
      </c>
      <c r="E24" s="19" t="s">
        <v>171</v>
      </c>
      <c r="F24" s="19" t="s">
        <v>172</v>
      </c>
      <c r="G24" s="20" t="s">
        <v>30</v>
      </c>
      <c r="H24" s="19" t="s">
        <v>173</v>
      </c>
      <c r="I24" s="19" t="s">
        <v>174</v>
      </c>
      <c r="J24" s="19" t="s">
        <v>40</v>
      </c>
    </row>
    <row r="25" customFormat="false" ht="22.35" hidden="false" customHeight="false" outlineLevel="0" collapsed="false">
      <c r="A25" s="21" t="n">
        <v>24</v>
      </c>
      <c r="B25" s="24" t="s">
        <v>11</v>
      </c>
      <c r="C25" s="22" t="s">
        <v>175</v>
      </c>
      <c r="D25" s="22" t="s">
        <v>176</v>
      </c>
      <c r="E25" s="22" t="s">
        <v>177</v>
      </c>
      <c r="F25" s="22" t="s">
        <v>178</v>
      </c>
      <c r="G25" s="20" t="s">
        <v>38</v>
      </c>
      <c r="H25" s="22" t="s">
        <v>179</v>
      </c>
      <c r="I25" s="22" t="s">
        <v>180</v>
      </c>
      <c r="J25" s="22" t="s">
        <v>40</v>
      </c>
    </row>
    <row r="26" customFormat="false" ht="15" hidden="false" customHeight="false" outlineLevel="0" collapsed="false">
      <c r="A26" s="17" t="n">
        <v>25</v>
      </c>
      <c r="B26" s="24" t="s">
        <v>11</v>
      </c>
      <c r="C26" s="19" t="s">
        <v>181</v>
      </c>
      <c r="D26" s="19" t="s">
        <v>182</v>
      </c>
      <c r="E26" s="19" t="s">
        <v>183</v>
      </c>
      <c r="F26" s="19" t="s">
        <v>184</v>
      </c>
      <c r="G26" s="20" t="s">
        <v>38</v>
      </c>
      <c r="H26" s="19" t="s">
        <v>185</v>
      </c>
      <c r="I26" s="19" t="s">
        <v>186</v>
      </c>
      <c r="J26" s="19" t="s">
        <v>40</v>
      </c>
    </row>
    <row r="27" customFormat="false" ht="15" hidden="false" customHeight="false" outlineLevel="0" collapsed="false">
      <c r="A27" s="21" t="n">
        <v>26</v>
      </c>
      <c r="B27" s="24" t="s">
        <v>11</v>
      </c>
      <c r="C27" s="22" t="s">
        <v>187</v>
      </c>
      <c r="D27" s="22" t="s">
        <v>188</v>
      </c>
      <c r="E27" s="22" t="s">
        <v>189</v>
      </c>
      <c r="F27" s="22" t="s">
        <v>190</v>
      </c>
      <c r="G27" s="20" t="s">
        <v>104</v>
      </c>
      <c r="H27" s="22" t="s">
        <v>191</v>
      </c>
      <c r="I27" s="22" t="s">
        <v>192</v>
      </c>
      <c r="J27" s="22" t="s">
        <v>193</v>
      </c>
    </row>
    <row r="28" customFormat="false" ht="22.35" hidden="false" customHeight="false" outlineLevel="0" collapsed="false">
      <c r="A28" s="17" t="n">
        <v>27</v>
      </c>
      <c r="B28" s="24" t="s">
        <v>11</v>
      </c>
      <c r="C28" s="19" t="s">
        <v>194</v>
      </c>
      <c r="D28" s="19" t="s">
        <v>195</v>
      </c>
      <c r="E28" s="19" t="s">
        <v>196</v>
      </c>
      <c r="F28" s="19" t="s">
        <v>197</v>
      </c>
      <c r="G28" s="20" t="s">
        <v>38</v>
      </c>
      <c r="H28" s="19" t="s">
        <v>198</v>
      </c>
      <c r="I28" s="19" t="s">
        <v>199</v>
      </c>
      <c r="J28" s="19" t="s">
        <v>40</v>
      </c>
    </row>
    <row r="29" customFormat="false" ht="15" hidden="false" customHeight="false" outlineLevel="0" collapsed="false">
      <c r="A29" s="21" t="n">
        <v>28</v>
      </c>
      <c r="B29" s="24" t="s">
        <v>11</v>
      </c>
      <c r="C29" s="22" t="s">
        <v>200</v>
      </c>
      <c r="D29" s="22" t="s">
        <v>201</v>
      </c>
      <c r="E29" s="22" t="s">
        <v>202</v>
      </c>
      <c r="F29" s="22" t="s">
        <v>203</v>
      </c>
      <c r="G29" s="20" t="s">
        <v>38</v>
      </c>
      <c r="H29" s="22" t="s">
        <v>204</v>
      </c>
      <c r="I29" s="22" t="s">
        <v>205</v>
      </c>
      <c r="J29" s="22" t="s">
        <v>206</v>
      </c>
    </row>
    <row r="30" customFormat="false" ht="15" hidden="false" customHeight="false" outlineLevel="0" collapsed="false">
      <c r="A30" s="17" t="n">
        <v>29</v>
      </c>
      <c r="B30" s="24" t="s">
        <v>11</v>
      </c>
      <c r="C30" s="19" t="s">
        <v>207</v>
      </c>
      <c r="D30" s="19" t="s">
        <v>208</v>
      </c>
      <c r="E30" s="19" t="s">
        <v>209</v>
      </c>
      <c r="F30" s="19" t="s">
        <v>210</v>
      </c>
      <c r="G30" s="20" t="s">
        <v>30</v>
      </c>
      <c r="H30" s="19" t="s">
        <v>211</v>
      </c>
      <c r="I30" s="19" t="s">
        <v>212</v>
      </c>
      <c r="J30" s="19" t="s">
        <v>40</v>
      </c>
    </row>
    <row r="31" customFormat="false" ht="22.35" hidden="false" customHeight="false" outlineLevel="0" collapsed="false">
      <c r="A31" s="21" t="n">
        <v>30</v>
      </c>
      <c r="B31" s="24" t="s">
        <v>11</v>
      </c>
      <c r="C31" s="22" t="s">
        <v>213</v>
      </c>
      <c r="D31" s="22" t="s">
        <v>214</v>
      </c>
      <c r="E31" s="22" t="s">
        <v>215</v>
      </c>
      <c r="F31" s="22" t="s">
        <v>216</v>
      </c>
      <c r="G31" s="20" t="s">
        <v>38</v>
      </c>
      <c r="H31" s="22" t="s">
        <v>217</v>
      </c>
      <c r="I31" s="22" t="s">
        <v>218</v>
      </c>
      <c r="J31" s="22" t="s">
        <v>40</v>
      </c>
    </row>
    <row r="32" customFormat="false" ht="15" hidden="false" customHeight="false" outlineLevel="0" collapsed="false">
      <c r="A32" s="17" t="n">
        <v>31</v>
      </c>
      <c r="B32" s="24" t="s">
        <v>11</v>
      </c>
      <c r="C32" s="19" t="s">
        <v>219</v>
      </c>
      <c r="D32" s="19" t="s">
        <v>220</v>
      </c>
      <c r="E32" s="19" t="s">
        <v>221</v>
      </c>
      <c r="F32" s="19" t="s">
        <v>222</v>
      </c>
      <c r="G32" s="20" t="s">
        <v>30</v>
      </c>
      <c r="H32" s="19" t="s">
        <v>223</v>
      </c>
      <c r="I32" s="19" t="s">
        <v>224</v>
      </c>
      <c r="J32" s="19" t="s">
        <v>225</v>
      </c>
    </row>
    <row r="33" customFormat="false" ht="15" hidden="false" customHeight="false" outlineLevel="0" collapsed="false">
      <c r="A33" s="21" t="n">
        <v>32</v>
      </c>
      <c r="B33" s="25" t="s">
        <v>13</v>
      </c>
      <c r="C33" s="22" t="s">
        <v>226</v>
      </c>
      <c r="D33" s="22" t="s">
        <v>227</v>
      </c>
      <c r="E33" s="22" t="s">
        <v>228</v>
      </c>
      <c r="F33" s="22" t="s">
        <v>229</v>
      </c>
      <c r="G33" s="20" t="s">
        <v>104</v>
      </c>
      <c r="H33" s="22" t="s">
        <v>230</v>
      </c>
      <c r="I33" s="22" t="s">
        <v>231</v>
      </c>
      <c r="J33" s="22" t="s">
        <v>232</v>
      </c>
    </row>
    <row r="34" customFormat="false" ht="15" hidden="false" customHeight="false" outlineLevel="0" collapsed="false">
      <c r="A34" s="17" t="n">
        <v>33</v>
      </c>
      <c r="B34" s="25" t="s">
        <v>13</v>
      </c>
      <c r="C34" s="19" t="s">
        <v>233</v>
      </c>
      <c r="D34" s="19" t="s">
        <v>234</v>
      </c>
      <c r="E34" s="19" t="s">
        <v>235</v>
      </c>
      <c r="F34" s="19" t="s">
        <v>236</v>
      </c>
      <c r="G34" s="20" t="s">
        <v>104</v>
      </c>
      <c r="H34" s="19" t="s">
        <v>237</v>
      </c>
      <c r="I34" s="19" t="s">
        <v>238</v>
      </c>
      <c r="J34" s="19" t="s">
        <v>40</v>
      </c>
    </row>
    <row r="35" customFormat="false" ht="15" hidden="false" customHeight="false" outlineLevel="0" collapsed="false">
      <c r="A35" s="21" t="n">
        <v>34</v>
      </c>
      <c r="B35" s="25" t="s">
        <v>13</v>
      </c>
      <c r="C35" s="22" t="s">
        <v>239</v>
      </c>
      <c r="D35" s="22" t="s">
        <v>240</v>
      </c>
      <c r="E35" s="22" t="s">
        <v>241</v>
      </c>
      <c r="F35" s="22" t="s">
        <v>242</v>
      </c>
      <c r="G35" s="20" t="s">
        <v>30</v>
      </c>
      <c r="H35" s="22" t="s">
        <v>243</v>
      </c>
      <c r="I35" s="22" t="s">
        <v>244</v>
      </c>
      <c r="J35" s="22" t="s">
        <v>245</v>
      </c>
    </row>
    <row r="36" customFormat="false" ht="15" hidden="false" customHeight="false" outlineLevel="0" collapsed="false">
      <c r="A36" s="17" t="n">
        <v>35</v>
      </c>
      <c r="B36" s="25" t="s">
        <v>13</v>
      </c>
      <c r="C36" s="19" t="s">
        <v>246</v>
      </c>
      <c r="D36" s="19" t="s">
        <v>247</v>
      </c>
      <c r="E36" s="19" t="s">
        <v>248</v>
      </c>
      <c r="F36" s="19" t="s">
        <v>249</v>
      </c>
      <c r="G36" s="20" t="s">
        <v>30</v>
      </c>
      <c r="H36" s="19" t="s">
        <v>250</v>
      </c>
      <c r="I36" s="19" t="s">
        <v>137</v>
      </c>
      <c r="J36" s="19" t="s">
        <v>251</v>
      </c>
    </row>
    <row r="37" customFormat="false" ht="15" hidden="false" customHeight="false" outlineLevel="0" collapsed="false">
      <c r="A37" s="21" t="n">
        <v>36</v>
      </c>
      <c r="B37" s="25" t="s">
        <v>13</v>
      </c>
      <c r="C37" s="22" t="s">
        <v>252</v>
      </c>
      <c r="D37" s="22" t="s">
        <v>253</v>
      </c>
      <c r="E37" s="22" t="s">
        <v>254</v>
      </c>
      <c r="F37" s="22" t="s">
        <v>255</v>
      </c>
      <c r="G37" s="20" t="s">
        <v>38</v>
      </c>
      <c r="H37" s="22" t="s">
        <v>256</v>
      </c>
      <c r="I37" s="22" t="s">
        <v>257</v>
      </c>
      <c r="J37" s="22" t="s">
        <v>40</v>
      </c>
    </row>
    <row r="38" customFormat="false" ht="15" hidden="false" customHeight="false" outlineLevel="0" collapsed="false">
      <c r="A38" s="17" t="n">
        <v>37</v>
      </c>
      <c r="B38" s="25" t="s">
        <v>13</v>
      </c>
      <c r="C38" s="19" t="s">
        <v>258</v>
      </c>
      <c r="D38" s="19" t="s">
        <v>259</v>
      </c>
      <c r="E38" s="19" t="s">
        <v>260</v>
      </c>
      <c r="F38" s="19" t="s">
        <v>261</v>
      </c>
      <c r="G38" s="20" t="s">
        <v>30</v>
      </c>
      <c r="H38" s="19" t="s">
        <v>262</v>
      </c>
      <c r="I38" s="19" t="s">
        <v>263</v>
      </c>
      <c r="J38" s="19" t="s">
        <v>264</v>
      </c>
    </row>
    <row r="39" customFormat="false" ht="15" hidden="false" customHeight="false" outlineLevel="0" collapsed="false">
      <c r="A39" s="21" t="n">
        <v>38</v>
      </c>
      <c r="B39" s="25" t="s">
        <v>13</v>
      </c>
      <c r="C39" s="22" t="s">
        <v>265</v>
      </c>
      <c r="D39" s="22" t="s">
        <v>266</v>
      </c>
      <c r="E39" s="22" t="s">
        <v>267</v>
      </c>
      <c r="F39" s="22" t="s">
        <v>268</v>
      </c>
      <c r="G39" s="20" t="s">
        <v>38</v>
      </c>
      <c r="H39" s="22" t="s">
        <v>269</v>
      </c>
      <c r="I39" s="22" t="s">
        <v>270</v>
      </c>
      <c r="J39" s="22" t="s">
        <v>271</v>
      </c>
    </row>
    <row r="40" customFormat="false" ht="15" hidden="false" customHeight="false" outlineLevel="0" collapsed="false">
      <c r="A40" s="17" t="n">
        <v>39</v>
      </c>
      <c r="B40" s="25" t="s">
        <v>13</v>
      </c>
      <c r="C40" s="19" t="s">
        <v>272</v>
      </c>
      <c r="D40" s="19" t="s">
        <v>273</v>
      </c>
      <c r="E40" s="19" t="s">
        <v>274</v>
      </c>
      <c r="F40" s="19" t="s">
        <v>275</v>
      </c>
      <c r="G40" s="20" t="s">
        <v>38</v>
      </c>
      <c r="H40" s="19" t="s">
        <v>276</v>
      </c>
      <c r="I40" s="19" t="s">
        <v>277</v>
      </c>
      <c r="J40" s="19" t="s">
        <v>40</v>
      </c>
    </row>
    <row r="41" customFormat="false" ht="15" hidden="false" customHeight="false" outlineLevel="0" collapsed="false">
      <c r="A41" s="21" t="n">
        <v>40</v>
      </c>
      <c r="B41" s="25" t="s">
        <v>13</v>
      </c>
      <c r="C41" s="22" t="s">
        <v>278</v>
      </c>
      <c r="D41" s="22" t="s">
        <v>279</v>
      </c>
      <c r="E41" s="22" t="s">
        <v>280</v>
      </c>
      <c r="F41" s="22" t="s">
        <v>281</v>
      </c>
      <c r="G41" s="20" t="s">
        <v>38</v>
      </c>
      <c r="H41" s="22" t="s">
        <v>282</v>
      </c>
      <c r="I41" s="22" t="s">
        <v>283</v>
      </c>
      <c r="J41" s="22" t="s">
        <v>40</v>
      </c>
    </row>
    <row r="42" customFormat="false" ht="22.35" hidden="false" customHeight="false" outlineLevel="0" collapsed="false">
      <c r="A42" s="17" t="n">
        <v>41</v>
      </c>
      <c r="B42" s="25" t="s">
        <v>13</v>
      </c>
      <c r="C42" s="19" t="s">
        <v>284</v>
      </c>
      <c r="D42" s="19" t="s">
        <v>285</v>
      </c>
      <c r="E42" s="19" t="s">
        <v>286</v>
      </c>
      <c r="F42" s="19" t="s">
        <v>287</v>
      </c>
      <c r="G42" s="20" t="s">
        <v>38</v>
      </c>
      <c r="H42" s="19" t="s">
        <v>288</v>
      </c>
      <c r="I42" s="19" t="s">
        <v>205</v>
      </c>
      <c r="J42" s="19" t="s">
        <v>206</v>
      </c>
    </row>
  </sheetData>
  <autoFilter ref="A1:J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2026-06-20T04:06:46Z</dcterms:created>
  <dc:creator>openpyxl</dc:creator>
  <dc:description/>
  <dc:language>en-US</dc:language>
  <cp:lastModifiedBy/>
  <dcterms:modified xsi:type="dcterms:W3CDTF">2026-06-20T04:06:46Z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