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Übersicht" sheetId="1" state="visible" r:id="rId3"/>
    <sheet name="Katalog" sheetId="2" state="visible" r:id="rId4"/>
  </sheets>
  <definedNames>
    <definedName function="false" hidden="true" localSheetId="1" name="_xlnm._FilterDatabase" vbProcedure="false">Katalog!$A$1:$J$43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<sst xmlns="http://schemas.openxmlformats.org/spreadsheetml/2006/main" count="409" uniqueCount="288">
  <si>
    <t xml:space="preserve">AgenticIT  ·  Effizienz-Katalog</t>
  </si>
  <si>
    <t xml:space="preserve">Routine raus, Zeit zurück – wiederkehrende Aufgaben automatisiert</t>
  </si>
  <si>
    <t xml:space="preserve">Automationen, die langwierige, zeitintensive und sich wiederholende Arbeiten übernehmen – von Büro &amp; Buchhaltung über Telefonempfang bis Daten, Marketing und HR. Jede Zeile ist ein n8n-tauglicher Workflow-Baustein, filterbar nach Kategorie, Aufwand und Branche.</t>
  </si>
  <si>
    <t xml:space="preserve">Kategorien-Übersicht</t>
  </si>
  <si>
    <t xml:space="preserve">Kategorie</t>
  </si>
  <si>
    <t xml:space="preserve">Fokus</t>
  </si>
  <si>
    <t xml:space="preserve">Anzahl</t>
  </si>
  <si>
    <t xml:space="preserve">Büro &amp; Admin</t>
  </si>
  <si>
    <t xml:space="preserve">Admin &amp; Organisation</t>
  </si>
  <si>
    <t xml:space="preserve">Buchhaltung &amp; Finanzen</t>
  </si>
  <si>
    <t xml:space="preserve">Rechnungen &amp; Finanzen</t>
  </si>
  <si>
    <t xml:space="preserve">Telefon &amp; Kommunikation</t>
  </si>
  <si>
    <t xml:space="preserve">Erreichbarkeit &amp; Dialog</t>
  </si>
  <si>
    <t xml:space="preserve">Daten &amp; CRM-Pflege</t>
  </si>
  <si>
    <t xml:space="preserve">Saubere Datenbasis</t>
  </si>
  <si>
    <t xml:space="preserve">Marketing &amp; Content</t>
  </si>
  <si>
    <t xml:space="preserve">Content &amp; Reichweite</t>
  </si>
  <si>
    <t xml:space="preserve">HR &amp; Recruiting</t>
  </si>
  <si>
    <t xml:space="preserve">Personal &amp; Onboarding</t>
  </si>
  <si>
    <t xml:space="preserve">Gesamt</t>
  </si>
  <si>
    <t xml:space="preserve">Zeitersparnis ist indikativ und teamabhängig. Hinweise: KI-Telefon/Chat klar als KI kennzeichnen (AI-Disclosure), automatisierte Ausgaben (Rechnungen, Mahnungen, Bewerber-Entscheide) menschlich prüfen (Human-in-the-loop), DSGVO einhalten.</t>
  </si>
  <si>
    <t xml:space="preserve">Nr.</t>
  </si>
  <si>
    <t xml:space="preserve">Automatisierung / Use Case</t>
  </si>
  <si>
    <t xml:space="preserve">Auslöser (Trigger)</t>
  </si>
  <si>
    <t xml:space="preserve">Ablauf (kurz)</t>
  </si>
  <si>
    <t xml:space="preserve">Tools &amp; Integrationen (n8n)</t>
  </si>
  <si>
    <t xml:space="preserve">Aufwand</t>
  </si>
  <si>
    <t xml:space="preserve">Zeitersparnis (indikativ)</t>
  </si>
  <si>
    <t xml:space="preserve">Branchen</t>
  </si>
  <si>
    <t xml:space="preserve">Compliance-Hinweis</t>
  </si>
  <si>
    <t xml:space="preserve">Posteingang-Sortierung &amp; Priorisierung</t>
  </si>
  <si>
    <t xml:space="preserve">Neue E-Mail trifft ein</t>
  </si>
  <si>
    <t xml:space="preserve">KI klassifiziert, labelt und priorisiert Mails; legt Aufgaben automatisch an.</t>
  </si>
  <si>
    <t xml:space="preserve">Gmail/IMAP, OpenAI, Tasks</t>
  </si>
  <si>
    <t xml:space="preserve">Mittel</t>
  </si>
  <si>
    <t xml:space="preserve">~4-6 Std./Woche</t>
  </si>
  <si>
    <t xml:space="preserve">Alle</t>
  </si>
  <si>
    <t xml:space="preserve">KI-Verarbeitung intern; DSGVO</t>
  </si>
  <si>
    <t xml:space="preserve">Meeting-Protokoll &amp; Action Items</t>
  </si>
  <si>
    <t xml:space="preserve">Meeting/Call beendet</t>
  </si>
  <si>
    <t xml:space="preserve">Transkript → Zusammenfassung + To-dos automatisch ins Projekt-Tool.</t>
  </si>
  <si>
    <t xml:space="preserve">Fireflies/Whisper, OpenAI, Notion/Asana</t>
  </si>
  <si>
    <t xml:space="preserve">~2-3 Std./Woche</t>
  </si>
  <si>
    <t xml:space="preserve">Alle, Beratung, Agentur</t>
  </si>
  <si>
    <t xml:space="preserve">Einwilligung zur Aufzeichnung</t>
  </si>
  <si>
    <t xml:space="preserve">Termin-Koordination / Scheduling</t>
  </si>
  <si>
    <t xml:space="preserve">Terminanfrage per Mail/Formular</t>
  </si>
  <si>
    <t xml:space="preserve">Verfügbarkeiten prüfen, Slot vorschlagen, buchen und bestätigen.</t>
  </si>
  <si>
    <t xml:space="preserve">Calendar, Cal.com, SMTP</t>
  </si>
  <si>
    <t xml:space="preserve">Niedrig</t>
  </si>
  <si>
    <t xml:space="preserve">~2 Std./Woche</t>
  </si>
  <si>
    <t xml:space="preserve">Alle, Praxis, Coaching</t>
  </si>
  <si>
    <t xml:space="preserve">—</t>
  </si>
  <si>
    <t xml:space="preserve">Beleg- &amp; Reisekosten-Erfassung</t>
  </si>
  <si>
    <t xml:space="preserve">Foto/Mail eines Belegs</t>
  </si>
  <si>
    <t xml:space="preserve">OCR liest Beleg, extrahiert Betrag/Datum und schreibt in Tabelle.</t>
  </si>
  <si>
    <t xml:space="preserve">OCR/Mindee, Sheets, Drive</t>
  </si>
  <si>
    <t xml:space="preserve">~3 Std./Woche</t>
  </si>
  <si>
    <t xml:space="preserve">Alle, Außendienst</t>
  </si>
  <si>
    <t xml:space="preserve">DSGVO: sensible Daten</t>
  </si>
  <si>
    <t xml:space="preserve">Dokumenten-Ablage &amp; Benennung</t>
  </si>
  <si>
    <t xml:space="preserve">Neues Dokument/Scan eingegangen</t>
  </si>
  <si>
    <t xml:space="preserve">Auto-Umbenennung nach Schema + Ablage im richtigen Ordner.</t>
  </si>
  <si>
    <t xml:space="preserve">Drive/SharePoint, OpenAI</t>
  </si>
  <si>
    <t xml:space="preserve">Alle, Kanzlei, Bau</t>
  </si>
  <si>
    <t xml:space="preserve">Fristen- &amp; Vertrags-Monitoring</t>
  </si>
  <si>
    <t xml:space="preserve">Frist/Verlängerung naht</t>
  </si>
  <si>
    <t xml:space="preserve">Fristen aus Verträgen erkennen, Reminder und Aufgaben erzeugen.</t>
  </si>
  <si>
    <t xml:space="preserve">Drive, OpenAI, Calendar</t>
  </si>
  <si>
    <t xml:space="preserve">Vermeidet teure Versäumnisse</t>
  </si>
  <si>
    <t xml:space="preserve">Kanzlei, Versicherung, B2B</t>
  </si>
  <si>
    <t xml:space="preserve">Tool-zu-Tool-Synchronisation</t>
  </si>
  <si>
    <t xml:space="preserve">Datensatz ändert sich</t>
  </si>
  <si>
    <t xml:space="preserve">CRM ↔ Sheets ↔ Buchhaltung automatisch synchron halten.</t>
  </si>
  <si>
    <t xml:space="preserve">Webhook, CRM, Sheets-API</t>
  </si>
  <si>
    <t xml:space="preserve">Schluss mit Doppel-Eingabe</t>
  </si>
  <si>
    <t xml:space="preserve">Wiederkehrende Reports</t>
  </si>
  <si>
    <t xml:space="preserve">Zeitplan (täglich/wöchentlich)</t>
  </si>
  <si>
    <t xml:space="preserve">Daten ziehen, aufbereiten und Report automatisch verschicken.</t>
  </si>
  <si>
    <t xml:space="preserve">Sheets/Looker, SMTP, Slack</t>
  </si>
  <si>
    <t xml:space="preserve">~3-4 Std./Woche</t>
  </si>
  <si>
    <t xml:space="preserve">Alle, Management</t>
  </si>
  <si>
    <t xml:space="preserve">Formular-Anfragen-Routing</t>
  </si>
  <si>
    <t xml:space="preserve">Webformular abgeschickt</t>
  </si>
  <si>
    <t xml:space="preserve">Anfrage validieren, ans richtige Team leiten + Eingangsbestätigung.</t>
  </si>
  <si>
    <t xml:space="preserve">Webhook, CRM, SMTP</t>
  </si>
  <si>
    <t xml:space="preserve">Alle, Dienstleistung</t>
  </si>
  <si>
    <t xml:space="preserve">Automatische Übersetzungen</t>
  </si>
  <si>
    <t xml:space="preserve">Dokument/Mail in Fremdsprache</t>
  </si>
  <si>
    <t xml:space="preserve">KI übersetzt Texte und legt Version ab oder antwortet mehrsprachig.</t>
  </si>
  <si>
    <t xml:space="preserve">OpenAI/DeepL, Drive, SMTP</t>
  </si>
  <si>
    <t xml:space="preserve">~1-2 Std./Woche</t>
  </si>
  <si>
    <t xml:space="preserve">Export, Tourismus, B2B</t>
  </si>
  <si>
    <t xml:space="preserve">Rechnungserstellung &amp; -versand</t>
  </si>
  <si>
    <t xml:space="preserve">Auftrag/Projekt abgeschlossen</t>
  </si>
  <si>
    <t xml:space="preserve">Rechnung automatisch generieren, prüfen lassen und versenden.</t>
  </si>
  <si>
    <t xml:space="preserve">CRM, Bexio/Lexoffice, SMTP</t>
  </si>
  <si>
    <t xml:space="preserve">Alle, Dienstleistung, Handwerk</t>
  </si>
  <si>
    <t xml:space="preserve">Human-in-the-loop vor Versand</t>
  </si>
  <si>
    <t xml:space="preserve">Eingangsrechnungen erfassen (OCR)</t>
  </si>
  <si>
    <t xml:space="preserve">Lieferanten-Rechnung (PDF/Mail)</t>
  </si>
  <si>
    <t xml:space="preserve">Daten per OCR extrahieren und in Buchhaltung vorerfassen.</t>
  </si>
  <si>
    <t xml:space="preserve">OCR/Mindee, Bexio/DATEV</t>
  </si>
  <si>
    <t xml:space="preserve">~4 Std./Woche</t>
  </si>
  <si>
    <t xml:space="preserve">Alle, Retail, Gastro</t>
  </si>
  <si>
    <t xml:space="preserve">DSGVO; Aufbewahrungspflicht</t>
  </si>
  <si>
    <t xml:space="preserve">Zahlungseingang-Abgleich</t>
  </si>
  <si>
    <t xml:space="preserve">Bank-Umsatz importiert</t>
  </si>
  <si>
    <t xml:space="preserve">Offene Posten automatisch matchen und als bezahlt markieren.</t>
  </si>
  <si>
    <t xml:space="preserve">Banking-API, Buchhaltung</t>
  </si>
  <si>
    <t xml:space="preserve">Hoch</t>
  </si>
  <si>
    <t xml:space="preserve">Finanzdaten-Sicherheit</t>
  </si>
  <si>
    <t xml:space="preserve">Mahnwesen automatisieren</t>
  </si>
  <si>
    <t xml:space="preserve">Rechnung überfällig</t>
  </si>
  <si>
    <t xml:space="preserve">Gestaffelte, freundliche Mahnungen automatisch versenden.</t>
  </si>
  <si>
    <t xml:space="preserve">Buchhaltung, SMTP, CRM</t>
  </si>
  <si>
    <t xml:space="preserve">Alle, KMU</t>
  </si>
  <si>
    <t xml:space="preserve">Human-in-the-loop ab Stufe 2</t>
  </si>
  <si>
    <t xml:space="preserve">Spesen-Freigabe-Workflow</t>
  </si>
  <si>
    <t xml:space="preserve">Spesenantrag eingereicht</t>
  </si>
  <si>
    <t xml:space="preserve">Antrag prüfen, an Vorgesetzte routen, Genehmigung dokumentieren.</t>
  </si>
  <si>
    <t xml:space="preserve">Forms, Slack, Sheets</t>
  </si>
  <si>
    <t xml:space="preserve">Alle, Mittelstand</t>
  </si>
  <si>
    <t xml:space="preserve">MwSt-/USt-Vorbereitung</t>
  </si>
  <si>
    <t xml:space="preserve">Periodenende erreicht</t>
  </si>
  <si>
    <t xml:space="preserve">Relevante Daten zusammenstellen und Treuhänder-Paket erzeugen.</t>
  </si>
  <si>
    <t xml:space="preserve">Buchhaltung, Sheets, Drive</t>
  </si>
  <si>
    <t xml:space="preserve">Spart Stunden je Periode</t>
  </si>
  <si>
    <t xml:space="preserve">Steuerliche Korrektheit prüfen</t>
  </si>
  <si>
    <t xml:space="preserve">Wiederkehrende Buchungen</t>
  </si>
  <si>
    <t xml:space="preserve">Monatlicher Stichtag</t>
  </si>
  <si>
    <t xml:space="preserve">Abos/Mieten/Verträge automatisch als Buchung erzeugen.</t>
  </si>
  <si>
    <t xml:space="preserve">Buchhaltung, Scheduler</t>
  </si>
  <si>
    <t xml:space="preserve">~1 Std./Woche</t>
  </si>
  <si>
    <t xml:space="preserve">Alle, Abo-Modelle</t>
  </si>
  <si>
    <t xml:space="preserve">Liquiditäts-Dashboard</t>
  </si>
  <si>
    <t xml:space="preserve">Täglicher Sync</t>
  </si>
  <si>
    <t xml:space="preserve">Cash-Position, offene Posten und Forecast automatisch aktualisieren.</t>
  </si>
  <si>
    <t xml:space="preserve">Banking, Buchhaltung, Looker</t>
  </si>
  <si>
    <t xml:space="preserve">Tagesaktuelle Übersicht</t>
  </si>
  <si>
    <t xml:space="preserve">Alle, Geschäftsführung</t>
  </si>
  <si>
    <t xml:space="preserve">Lohn-Vorbereitung</t>
  </si>
  <si>
    <t xml:space="preserve">Periodenende / Stundenerfassung</t>
  </si>
  <si>
    <t xml:space="preserve">Stunden zusammenführen und Lohnlauf-Daten vorbereiten.</t>
  </si>
  <si>
    <t xml:space="preserve">Zeiterfassung, Sheets, Payroll</t>
  </si>
  <si>
    <t xml:space="preserve">~2-3 Std./Monat</t>
  </si>
  <si>
    <t xml:space="preserve">KMU, Gastro, Handwerk</t>
  </si>
  <si>
    <t xml:space="preserve">Sensible Daten; DSGVO</t>
  </si>
  <si>
    <t xml:space="preserve">KI-Telefonempfang (Voice-Agent)</t>
  </si>
  <si>
    <t xml:space="preserve">Eingehender Anruf</t>
  </si>
  <si>
    <t xml:space="preserve">KI nimmt an, qualifiziert, beantwortet FAQ und bucht Termine.</t>
  </si>
  <si>
    <t xml:space="preserve">Voice-AI (Vapi/Retell), Calendar, CRM</t>
  </si>
  <si>
    <t xml:space="preserve">Erreichbarkeit rund um die Uhr</t>
  </si>
  <si>
    <t xml:space="preserve">Praxis, Handwerk, Dienstleistung</t>
  </si>
  <si>
    <t xml:space="preserve">AI-Disclosure: KI klar ansagen</t>
  </si>
  <si>
    <t xml:space="preserve">Voicemail-Transkription &amp; Routing</t>
  </si>
  <si>
    <t xml:space="preserve">Neue Voicemail</t>
  </si>
  <si>
    <t xml:space="preserve">Voicemail in Text wandeln, zusammenfassen und als Ticket anlegen.</t>
  </si>
  <si>
    <t xml:space="preserve">Telefonie, Whisper, CRM</t>
  </si>
  <si>
    <t xml:space="preserve">Alle, Service</t>
  </si>
  <si>
    <t xml:space="preserve">Anruf-Protokollierung im CRM</t>
  </si>
  <si>
    <t xml:space="preserve">Telefonat beendet</t>
  </si>
  <si>
    <t xml:space="preserve">Anruf automatisch im Kontakt protokollieren inkl. KI-Notiz.</t>
  </si>
  <si>
    <t xml:space="preserve">Aircall/Twilio, OpenAI, CRM</t>
  </si>
  <si>
    <t xml:space="preserve">Vertrieb, Service</t>
  </si>
  <si>
    <t xml:space="preserve">Aufzeichnungs-Einwilligung</t>
  </si>
  <si>
    <t xml:space="preserve">WhatsApp-/SMS-Auto-Antwort</t>
  </si>
  <si>
    <t xml:space="preserve">Eingehende Nachricht</t>
  </si>
  <si>
    <t xml:space="preserve">KI antwortet sofort, qualifiziert und eskaliert bei Bedarf.</t>
  </si>
  <si>
    <t xml:space="preserve">WhatsApp/Twilio, OpenAI, CRM</t>
  </si>
  <si>
    <t xml:space="preserve">Sofort-Reaktion statt Wartezeit</t>
  </si>
  <si>
    <t xml:space="preserve">Alle, Retail, Praxis</t>
  </si>
  <si>
    <t xml:space="preserve">AI-Disclosure; Opt-in</t>
  </si>
  <si>
    <t xml:space="preserve">Rückruf-Warteschlange</t>
  </si>
  <si>
    <t xml:space="preserve">Mehrere Anfragen/verpasste Calls</t>
  </si>
  <si>
    <t xml:space="preserve">Priorisierte Rückruf-Liste mit Kontext und Talking Points erzeugen.</t>
  </si>
  <si>
    <t xml:space="preserve">Telefonie, CRM, Sheets</t>
  </si>
  <si>
    <t xml:space="preserve">Kein Lead geht verloren</t>
  </si>
  <si>
    <t xml:space="preserve">Vertrieb, Dienstleistung</t>
  </si>
  <si>
    <t xml:space="preserve">Termin-Bestätigung per Anruf/SMS</t>
  </si>
  <si>
    <t xml:space="preserve">Termin steht an</t>
  </si>
  <si>
    <t xml:space="preserve">Automatisierte Bestätigung und Erinnerung reduziert No-Shows.</t>
  </si>
  <si>
    <t xml:space="preserve">Twilio, Calendar</t>
  </si>
  <si>
    <t xml:space="preserve">-30-50% No-Shows</t>
  </si>
  <si>
    <t xml:space="preserve">Praxis, Beauty, Beratung</t>
  </si>
  <si>
    <t xml:space="preserve">Opt-in</t>
  </si>
  <si>
    <t xml:space="preserve">Lead-Daten-Anreicherung</t>
  </si>
  <si>
    <t xml:space="preserve">Neuer Lead im CRM</t>
  </si>
  <si>
    <t xml:space="preserve">Firmen-/Kontaktdaten automatisch anreichern und ergänzen.</t>
  </si>
  <si>
    <t xml:space="preserve">Clearbit/Apollo, CRM</t>
  </si>
  <si>
    <t xml:space="preserve">B2B, Vertrieb, SaaS</t>
  </si>
  <si>
    <t xml:space="preserve">DSGVO: Datenquellen prüfen</t>
  </si>
  <si>
    <t xml:space="preserve">Dubletten-Bereinigung</t>
  </si>
  <si>
    <t xml:space="preserve">Geplanter Scan / neuer Datensatz</t>
  </si>
  <si>
    <t xml:space="preserve">Duplikate erkennen, zusammenführen und CRM sauber halten.</t>
  </si>
  <si>
    <t xml:space="preserve">CRM, Webhook, Sheets</t>
  </si>
  <si>
    <t xml:space="preserve">Spart Stunden Aufräumen</t>
  </si>
  <si>
    <t xml:space="preserve">Alle, Vertrieb</t>
  </si>
  <si>
    <t xml:space="preserve">CRM-Datenhygiene</t>
  </si>
  <si>
    <t xml:space="preserve">Pflichtfeld fehlt/veraltet</t>
  </si>
  <si>
    <t xml:space="preserve">Lücken erkennen und automatisch Daten nachfordern/ergänzen.</t>
  </si>
  <si>
    <t xml:space="preserve">CRM, OpenAI, SMTP</t>
  </si>
  <si>
    <t xml:space="preserve">Saubere Pipeline</t>
  </si>
  <si>
    <t xml:space="preserve">Visitenkarten/Signatur-Erfassung</t>
  </si>
  <si>
    <t xml:space="preserve">Foto/Mail eines Kontakts</t>
  </si>
  <si>
    <t xml:space="preserve">Kontaktdaten extrahieren und als CRM-Kontakt anlegen.</t>
  </si>
  <si>
    <t xml:space="preserve">OCR, OpenAI, CRM</t>
  </si>
  <si>
    <t xml:space="preserve">Schnelle Nacherfassung</t>
  </si>
  <si>
    <t xml:space="preserve">Vertrieb, Events, Messe</t>
  </si>
  <si>
    <t xml:space="preserve">Automatische Listen-Segmentierung</t>
  </si>
  <si>
    <t xml:space="preserve">Kriterien/Verhalten erfüllt</t>
  </si>
  <si>
    <t xml:space="preserve">Kontakte automatisch in passende Segmente/Listen einsortieren.</t>
  </si>
  <si>
    <t xml:space="preserve">CRM, Analytics</t>
  </si>
  <si>
    <t xml:space="preserve">Zielgenaue Ansprache</t>
  </si>
  <si>
    <t xml:space="preserve">Alle, Marketing</t>
  </si>
  <si>
    <t xml:space="preserve">DSGVO: Profilbildung</t>
  </si>
  <si>
    <t xml:space="preserve">Strukturierte Lead-Recherche</t>
  </si>
  <si>
    <t xml:space="preserve">Quelle/Trigger definiert</t>
  </si>
  <si>
    <t xml:space="preserve">Öffentliche Daten sammeln und als saubere Lead-Liste aufbereiten.</t>
  </si>
  <si>
    <t xml:space="preserve">Scraping (legal), Sheets, OpenAI</t>
  </si>
  <si>
    <t xml:space="preserve">Skalierbare Listen</t>
  </si>
  <si>
    <t xml:space="preserve">Vertrieb, Recruiting</t>
  </si>
  <si>
    <t xml:space="preserve">Nur legale/öffentliche Quellen; DSGVO</t>
  </si>
  <si>
    <t xml:space="preserve">Social-Media-Planung &amp; Publishing</t>
  </si>
  <si>
    <t xml:space="preserve">Content-Freigabe</t>
  </si>
  <si>
    <t xml:space="preserve">Posts für mehrere Kanäle planen und automatisch veröffentlichen.</t>
  </si>
  <si>
    <t xml:space="preserve">Postiz/Buffer, Social-APIs</t>
  </si>
  <si>
    <t xml:space="preserve">Alle, Agentur, Retail</t>
  </si>
  <si>
    <t xml:space="preserve">Markenfreigabe vor Live</t>
  </si>
  <si>
    <t xml:space="preserve">Content-Repurposing</t>
  </si>
  <si>
    <t xml:space="preserve">Neuer Blog/Artikel/Video</t>
  </si>
  <si>
    <t xml:space="preserve">Ein Stück Content in Posts, Newsletter und Snippets umwandeln.</t>
  </si>
  <si>
    <t xml:space="preserve">OpenAI, CMS, Social-API</t>
  </si>
  <si>
    <t xml:space="preserve">Medien, Agentur, Coaching</t>
  </si>
  <si>
    <t xml:space="preserve">Human-Review</t>
  </si>
  <si>
    <t xml:space="preserve">Newsletter-Zusammenstellung</t>
  </si>
  <si>
    <t xml:space="preserve">Versand-Zeitplan</t>
  </si>
  <si>
    <t xml:space="preserve">Inhalte sammeln, kuratieren und Newsletter-Entwurf erstellen.</t>
  </si>
  <si>
    <t xml:space="preserve">CMS, OpenAI, Mailchimp/Klaviyo</t>
  </si>
  <si>
    <t xml:space="preserve">Alle, E-Commerce</t>
  </si>
  <si>
    <t xml:space="preserve">Werbe-Einwilligung</t>
  </si>
  <si>
    <t xml:space="preserve">Reviews sammeln &amp; teilen</t>
  </si>
  <si>
    <t xml:space="preserve">Neue positive Bewertung</t>
  </si>
  <si>
    <t xml:space="preserve">Bewertung automatisch als Social-Proof-Post aufbereiten.</t>
  </si>
  <si>
    <t xml:space="preserve">Google/Trustpilot, Canva-API, Social</t>
  </si>
  <si>
    <t xml:space="preserve">Kontinuierlicher Social Proof</t>
  </si>
  <si>
    <t xml:space="preserve">Lokal, E-Commerce, Gastro</t>
  </si>
  <si>
    <t xml:space="preserve">Echtheit; Einwilligung</t>
  </si>
  <si>
    <t xml:space="preserve">Bild-/Asset-Generierung</t>
  </si>
  <si>
    <t xml:space="preserve">Design-Brief eingereicht</t>
  </si>
  <si>
    <t xml:space="preserve">KI erzeugt Bildvarianten/Vorlagen für Kampagnen automatisch.</t>
  </si>
  <si>
    <t xml:space="preserve">OpenAI/Firefly, Canva-API, Drive</t>
  </si>
  <si>
    <t xml:space="preserve">Schnelle Asset-Produktion</t>
  </si>
  <si>
    <t xml:space="preserve">Bildrechte; KI-Kennzeichnung</t>
  </si>
  <si>
    <t xml:space="preserve">SEO-/Ranking-Reporting</t>
  </si>
  <si>
    <t xml:space="preserve">Wöchentlicher Lauf</t>
  </si>
  <si>
    <t xml:space="preserve">Rankings, Traffic und Wettbewerb automatisch reporten.</t>
  </si>
  <si>
    <t xml:space="preserve">Semrush/Ahrefs, Sheets, Slack</t>
  </si>
  <si>
    <t xml:space="preserve">Alle, Online</t>
  </si>
  <si>
    <t xml:space="preserve">Bewerber-Vorscreening</t>
  </si>
  <si>
    <t xml:space="preserve">Neue Bewerbung eingegangen</t>
  </si>
  <si>
    <t xml:space="preserve">KI gleicht Profil mit Anforderungen ab und erstellt Match-Score.</t>
  </si>
  <si>
    <t xml:space="preserve">ATS, OpenAI, Sheets</t>
  </si>
  <si>
    <t xml:space="preserve">~4 Std./Stelle</t>
  </si>
  <si>
    <t xml:space="preserve">Alle, Recruiting</t>
  </si>
  <si>
    <t xml:space="preserve">Fairness; keine Diskriminierung; DSGVO</t>
  </si>
  <si>
    <t xml:space="preserve">Interview-Terminierung</t>
  </si>
  <si>
    <t xml:space="preserve">Kandidat in Shortlist</t>
  </si>
  <si>
    <t xml:space="preserve">Verfügbarkeiten abgleichen und Interview-Slots automatisch koordinieren.</t>
  </si>
  <si>
    <t xml:space="preserve">~2 Std./Stelle</t>
  </si>
  <si>
    <t xml:space="preserve">Onboarding neuer Mitarbeiter</t>
  </si>
  <si>
    <t xml:space="preserve">Einstellung bestätigt</t>
  </si>
  <si>
    <t xml:space="preserve">Checkliste, Accounts und Aufgaben automatisch auslösen.</t>
  </si>
  <si>
    <t xml:space="preserve">HR-Tool, Slack, IT-Provisioning</t>
  </si>
  <si>
    <t xml:space="preserve">~3-4 Std./Eintritt</t>
  </si>
  <si>
    <t xml:space="preserve">Alle, wachsende Teams</t>
  </si>
  <si>
    <t xml:space="preserve">Zugriffsrechte sauber setzen</t>
  </si>
  <si>
    <t xml:space="preserve">Abwesenheits-/Urlaubsverwaltung</t>
  </si>
  <si>
    <t xml:space="preserve">Urlaubsantrag gestellt</t>
  </si>
  <si>
    <t xml:space="preserve">Antrag routen, genehmigen und im Team-Kalender eintragen.</t>
  </si>
  <si>
    <t xml:space="preserve">Forms, Calendar, Slack</t>
  </si>
  <si>
    <t xml:space="preserve">DSGVO: Personaldaten</t>
  </si>
  <si>
    <t xml:space="preserve">FAQ-/Wissensdatenbank-Pflege</t>
  </si>
  <si>
    <t xml:space="preserve">Wiederkehrende Fragen erkannt</t>
  </si>
  <si>
    <t xml:space="preserve">Häufige Fragen erkennen und KB-Artikel-Entwürfe vorschlagen.</t>
  </si>
  <si>
    <t xml:space="preserve">Helpdesk, OpenAI, Notion</t>
  </si>
  <si>
    <t xml:space="preserve">Weniger Wiederholungs-Support</t>
  </si>
  <si>
    <t xml:space="preserve">Alle, SaaS, Service</t>
  </si>
</sst>
</file>

<file path=xl/styles.xml><?xml version="1.0" encoding="utf-8"?>
<styleSheet xmlns="http://schemas.openxmlformats.org/spreadsheetml/2006/main">
  <numFmts count="1">
    <numFmt numFmtId="164" formatCode="General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0F2A3F"/>
      <name val="Arial"/>
      <family val="0"/>
      <charset val="1"/>
    </font>
    <font>
      <i val="true"/>
      <sz val="12"/>
      <color rgb="FF1FB6A6"/>
      <name val="Arial"/>
      <family val="0"/>
      <charset val="1"/>
    </font>
    <font>
      <sz val="10"/>
      <color rgb="FF34495E"/>
      <name val="Arial"/>
      <family val="0"/>
      <charset val="1"/>
    </font>
    <font>
      <b val="true"/>
      <sz val="13"/>
      <color rgb="FF0F2A3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34495E"/>
      <name val="Arial"/>
      <family val="0"/>
      <charset val="1"/>
    </font>
    <font>
      <b val="true"/>
      <sz val="11"/>
      <color rgb="FF0F2A3F"/>
      <name val="Arial"/>
      <family val="0"/>
      <charset val="1"/>
    </font>
    <font>
      <i val="true"/>
      <sz val="9"/>
      <color rgb="FF7F8C8D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color rgb="FF0F2A3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9"/>
      <color rgb="FF2C3E50"/>
      <name val="Arial"/>
      <family val="0"/>
      <charset val="1"/>
    </font>
  </fonts>
  <fills count="13">
    <fill>
      <patternFill patternType="none"/>
    </fill>
    <fill>
      <patternFill patternType="gray125"/>
    </fill>
    <fill>
      <patternFill patternType="solid">
        <fgColor rgb="FF0F2A3F"/>
        <bgColor rgb="FF2C3E50"/>
      </patternFill>
    </fill>
    <fill>
      <patternFill patternType="solid">
        <fgColor rgb="FF2E86C1"/>
        <bgColor rgb="FF2980B9"/>
      </patternFill>
    </fill>
    <fill>
      <patternFill patternType="solid">
        <fgColor rgb="FF16A085"/>
        <bgColor rgb="FF1FB6A6"/>
      </patternFill>
    </fill>
    <fill>
      <patternFill patternType="solid">
        <fgColor rgb="FF8E44AD"/>
        <bgColor rgb="FF993366"/>
      </patternFill>
    </fill>
    <fill>
      <patternFill patternType="solid">
        <fgColor rgb="FF2980B9"/>
        <bgColor rgb="FF2E86C1"/>
      </patternFill>
    </fill>
    <fill>
      <patternFill patternType="solid">
        <fgColor rgb="FFE67E22"/>
        <bgColor rgb="FFFF9900"/>
      </patternFill>
    </fill>
    <fill>
      <patternFill patternType="solid">
        <fgColor rgb="FFC0392B"/>
        <bgColor rgb="FF993366"/>
      </patternFill>
    </fill>
    <fill>
      <patternFill patternType="solid">
        <fgColor rgb="FFFCF3CF"/>
        <bgColor rgb="FFF2F4F5"/>
      </patternFill>
    </fill>
    <fill>
      <patternFill patternType="solid">
        <fgColor rgb="FFF2F4F5"/>
        <bgColor rgb="FFFFFFFF"/>
      </patternFill>
    </fill>
    <fill>
      <patternFill patternType="solid">
        <fgColor rgb="FFD5F5E3"/>
        <bgColor rgb="FFCCFFFF"/>
      </patternFill>
    </fill>
    <fill>
      <patternFill patternType="solid">
        <fgColor rgb="FFFADBD8"/>
        <bgColor rgb="FFFCF3C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5DBDB"/>
      </left>
      <right style="thin">
        <color rgb="FFD5DBDB"/>
      </right>
      <top style="thin">
        <color rgb="FFD5DBDB"/>
      </top>
      <bottom style="thin">
        <color rgb="FFD5DBD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8" fillId="7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8" fillId="8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4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5" fillId="9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3" fillId="1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5" fillId="1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5" fillId="11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4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1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4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4">
    <dxf>
      <fill>
        <patternFill patternType="solid">
          <fgColor rgb="FF0F2A3F"/>
          <bgColor rgb="FF000000"/>
        </patternFill>
      </fill>
    </dxf>
    <dxf>
      <fill>
        <patternFill patternType="solid">
          <fgColor rgb="FFF2F4F5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16A085"/>
          <bgColor rgb="FF000000"/>
        </patternFill>
      </fill>
    </dxf>
    <dxf>
      <fill>
        <patternFill patternType="solid">
          <fgColor rgb="FF2980B9"/>
          <bgColor rgb="FF000000"/>
        </patternFill>
      </fill>
    </dxf>
    <dxf>
      <fill>
        <patternFill patternType="solid">
          <fgColor rgb="FF2E86C1"/>
          <bgColor rgb="FF000000"/>
        </patternFill>
      </fill>
    </dxf>
    <dxf>
      <fill>
        <patternFill patternType="solid">
          <fgColor rgb="FF8E44AD"/>
          <bgColor rgb="FF000000"/>
        </patternFill>
      </fill>
    </dxf>
    <dxf>
      <fill>
        <patternFill patternType="solid">
          <fgColor rgb="FFC0392B"/>
          <bgColor rgb="FF000000"/>
        </patternFill>
      </fill>
    </dxf>
    <dxf>
      <fill>
        <patternFill patternType="solid">
          <fgColor rgb="FFE67E22"/>
          <bgColor rgb="FF000000"/>
        </patternFill>
      </fill>
    </dxf>
    <dxf>
      <fill>
        <patternFill patternType="solid">
          <fgColor rgb="FF2C3E50"/>
          <bgColor rgb="FF000000"/>
        </patternFill>
      </fill>
    </dxf>
    <dxf>
      <fill>
        <patternFill patternType="solid">
          <fgColor rgb="FFD5F5E3"/>
          <bgColor rgb="FF000000"/>
        </patternFill>
      </fill>
    </dxf>
    <dxf>
      <fill>
        <patternFill patternType="solid">
          <fgColor rgb="FFFADBD8"/>
          <bgColor rgb="FF000000"/>
        </patternFill>
      </fill>
    </dxf>
    <dxf>
      <fill>
        <patternFill patternType="solid">
          <fgColor rgb="FFFCF3C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2980B9"/>
      <rgbColor rgb="FFC0C0C0"/>
      <rgbColor rgb="FF7F8C8D"/>
      <rgbColor rgb="FF9999FF"/>
      <rgbColor rgb="FF8E44AD"/>
      <rgbColor rgb="FFFCF3CF"/>
      <rgbColor rgb="FFF2F4F5"/>
      <rgbColor rgb="FF660066"/>
      <rgbColor rgb="FFFF8080"/>
      <rgbColor rgb="FF0066CC"/>
      <rgbColor rgb="FFD5DB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5F5E3"/>
      <rgbColor rgb="FFFFFF99"/>
      <rgbColor rgb="FF99CCFF"/>
      <rgbColor rgb="FFFF99CC"/>
      <rgbColor rgb="FFCC99FF"/>
      <rgbColor rgb="FFFADBD8"/>
      <rgbColor rgb="FF2E86C1"/>
      <rgbColor rgb="FF1FB6A6"/>
      <rgbColor rgb="FF99CC00"/>
      <rgbColor rgb="FFFFCC00"/>
      <rgbColor rgb="FFFF9900"/>
      <rgbColor rgb="FFE67E22"/>
      <rgbColor rgb="FF666699"/>
      <rgbColor rgb="FF969696"/>
      <rgbColor rgb="FF0F2A3F"/>
      <rgbColor rgb="FF16A085"/>
      <rgbColor rgb="FF003300"/>
      <rgbColor rgb="FF333300"/>
      <rgbColor rgb="FFC0392B"/>
      <rgbColor rgb="FF993366"/>
      <rgbColor rgb="FF34495E"/>
      <rgbColor rgb="FF2C3E5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2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8"/>
    <col collapsed="false" customWidth="true" hidden="false" outlineLevel="0" max="3" min="3" style="0" width="20"/>
    <col collapsed="false" customWidth="true" hidden="false" outlineLevel="0" max="6" min="4" style="0" width="14"/>
  </cols>
  <sheetData>
    <row r="2" customFormat="false" ht="24.45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15" hidden="false" customHeight="true" outlineLevel="0" collapsed="false">
      <c r="B5" s="3" t="s">
        <v>2</v>
      </c>
      <c r="C5" s="3"/>
      <c r="D5" s="3"/>
      <c r="E5" s="3"/>
      <c r="F5" s="3"/>
    </row>
    <row r="6" customFormat="false" ht="15" hidden="false" customHeight="false" outlineLevel="0" collapsed="false">
      <c r="B6" s="3"/>
      <c r="C6" s="3"/>
      <c r="D6" s="3"/>
      <c r="E6" s="3"/>
      <c r="F6" s="3"/>
    </row>
    <row r="8" customFormat="false" ht="16.15" hidden="false" customHeight="false" outlineLevel="0" collapsed="false">
      <c r="B8" s="4" t="s">
        <v>3</v>
      </c>
    </row>
    <row r="9" customFormat="false" ht="15" hidden="false" customHeight="false" outlineLevel="0" collapsed="false">
      <c r="B9" s="5" t="s">
        <v>4</v>
      </c>
      <c r="C9" s="5" t="s">
        <v>5</v>
      </c>
      <c r="D9" s="5" t="s">
        <v>6</v>
      </c>
    </row>
    <row r="10" customFormat="false" ht="15" hidden="false" customHeight="false" outlineLevel="0" collapsed="false">
      <c r="B10" s="6" t="s">
        <v>7</v>
      </c>
      <c r="C10" s="7" t="s">
        <v>8</v>
      </c>
      <c r="D10" s="8" t="n">
        <f aca="false">COUNTIF(Katalog!B:B,"Büro &amp; Admin")</f>
        <v>10</v>
      </c>
    </row>
    <row r="11" customFormat="false" ht="15" hidden="false" customHeight="false" outlineLevel="0" collapsed="false">
      <c r="B11" s="9" t="s">
        <v>9</v>
      </c>
      <c r="C11" s="7" t="s">
        <v>10</v>
      </c>
      <c r="D11" s="8" t="n">
        <f aca="false">COUNTIF(Katalog!B:B,"Buchhaltung &amp; Finanzen")</f>
        <v>9</v>
      </c>
    </row>
    <row r="12" customFormat="false" ht="15" hidden="false" customHeight="false" outlineLevel="0" collapsed="false">
      <c r="B12" s="10" t="s">
        <v>11</v>
      </c>
      <c r="C12" s="7" t="s">
        <v>12</v>
      </c>
      <c r="D12" s="8" t="n">
        <f aca="false">COUNTIF(Katalog!B:B,"Telefon &amp; Kommunikation")</f>
        <v>6</v>
      </c>
    </row>
    <row r="13" customFormat="false" ht="15" hidden="false" customHeight="false" outlineLevel="0" collapsed="false">
      <c r="B13" s="11" t="s">
        <v>13</v>
      </c>
      <c r="C13" s="7" t="s">
        <v>14</v>
      </c>
      <c r="D13" s="8" t="n">
        <f aca="false">COUNTIF(Katalog!B:B,"Daten &amp; CRM-Pflege")</f>
        <v>6</v>
      </c>
    </row>
    <row r="14" customFormat="false" ht="15" hidden="false" customHeight="false" outlineLevel="0" collapsed="false">
      <c r="B14" s="12" t="s">
        <v>15</v>
      </c>
      <c r="C14" s="7" t="s">
        <v>16</v>
      </c>
      <c r="D14" s="8" t="n">
        <f aca="false">COUNTIF(Katalog!B:B,"Marketing &amp; Content")</f>
        <v>6</v>
      </c>
    </row>
    <row r="15" customFormat="false" ht="15" hidden="false" customHeight="false" outlineLevel="0" collapsed="false">
      <c r="B15" s="13" t="s">
        <v>17</v>
      </c>
      <c r="C15" s="7" t="s">
        <v>18</v>
      </c>
      <c r="D15" s="8" t="n">
        <f aca="false">COUNTIF(Katalog!B:B,"HR &amp; Recruiting")</f>
        <v>5</v>
      </c>
    </row>
    <row r="16" customFormat="false" ht="15" hidden="false" customHeight="false" outlineLevel="0" collapsed="false">
      <c r="B16" s="14" t="s">
        <v>19</v>
      </c>
      <c r="C16" s="15"/>
      <c r="D16" s="16" t="n">
        <f aca="false">SUM(D10:D15)</f>
        <v>42</v>
      </c>
    </row>
    <row r="18" customFormat="false" ht="15" hidden="false" customHeight="true" outlineLevel="0" collapsed="false">
      <c r="B18" s="17" t="s">
        <v>20</v>
      </c>
      <c r="C18" s="17"/>
      <c r="D18" s="17"/>
      <c r="E18" s="17"/>
      <c r="F18" s="17"/>
    </row>
    <row r="19" customFormat="false" ht="15" hidden="false" customHeight="false" outlineLevel="0" collapsed="false">
      <c r="B19" s="17"/>
      <c r="C19" s="17"/>
      <c r="D19" s="17"/>
      <c r="E19" s="17"/>
      <c r="F19" s="17"/>
    </row>
    <row r="20" customFormat="false" ht="15" hidden="false" customHeight="false" outlineLevel="0" collapsed="false">
      <c r="B20" s="17"/>
      <c r="C20" s="17"/>
      <c r="D20" s="17"/>
      <c r="E20" s="17"/>
      <c r="F20" s="17"/>
    </row>
  </sheetData>
  <mergeCells count="2">
    <mergeCell ref="B5:F6"/>
    <mergeCell ref="B18:F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2"/>
    <col collapsed="false" customWidth="true" hidden="false" outlineLevel="0" max="3" min="3" style="0" width="30"/>
    <col collapsed="false" customWidth="true" hidden="false" outlineLevel="0" max="4" min="4" style="0" width="28"/>
    <col collapsed="false" customWidth="true" hidden="false" outlineLevel="0" max="5" min="5" style="0" width="52"/>
    <col collapsed="false" customWidth="true" hidden="false" outlineLevel="0" max="6" min="6" style="0" width="34"/>
    <col collapsed="false" customWidth="true" hidden="false" outlineLevel="0" max="7" min="7" style="0" width="10"/>
    <col collapsed="false" customWidth="true" hidden="false" outlineLevel="0" max="8" min="8" style="0" width="22"/>
    <col collapsed="false" customWidth="true" hidden="false" outlineLevel="0" max="9" min="9" style="0" width="24"/>
    <col collapsed="false" customWidth="true" hidden="false" outlineLevel="0" max="10" min="10" style="0" width="32"/>
  </cols>
  <sheetData>
    <row r="1" customFormat="false" ht="30" hidden="false" customHeight="true" outlineLevel="0" collapsed="false">
      <c r="A1" s="18" t="s">
        <v>21</v>
      </c>
      <c r="B1" s="18" t="s">
        <v>4</v>
      </c>
      <c r="C1" s="18" t="s">
        <v>22</v>
      </c>
      <c r="D1" s="18" t="s">
        <v>23</v>
      </c>
      <c r="E1" s="18" t="s">
        <v>24</v>
      </c>
      <c r="F1" s="18" t="s">
        <v>25</v>
      </c>
      <c r="G1" s="18" t="s">
        <v>26</v>
      </c>
      <c r="H1" s="18" t="s">
        <v>27</v>
      </c>
      <c r="I1" s="18" t="s">
        <v>28</v>
      </c>
      <c r="J1" s="18" t="s">
        <v>29</v>
      </c>
    </row>
    <row r="2" customFormat="false" ht="22.35" hidden="false" customHeight="false" outlineLevel="0" collapsed="false">
      <c r="A2" s="19" t="n">
        <v>1</v>
      </c>
      <c r="B2" s="20" t="s">
        <v>7</v>
      </c>
      <c r="C2" s="21" t="s">
        <v>30</v>
      </c>
      <c r="D2" s="21" t="s">
        <v>31</v>
      </c>
      <c r="E2" s="21" t="s">
        <v>32</v>
      </c>
      <c r="F2" s="21" t="s">
        <v>33</v>
      </c>
      <c r="G2" s="22" t="s">
        <v>34</v>
      </c>
      <c r="H2" s="21" t="s">
        <v>35</v>
      </c>
      <c r="I2" s="21" t="s">
        <v>36</v>
      </c>
      <c r="J2" s="21" t="s">
        <v>37</v>
      </c>
    </row>
    <row r="3" customFormat="false" ht="22.35" hidden="false" customHeight="false" outlineLevel="0" collapsed="false">
      <c r="A3" s="23" t="n">
        <v>2</v>
      </c>
      <c r="B3" s="20" t="s">
        <v>7</v>
      </c>
      <c r="C3" s="24" t="s">
        <v>38</v>
      </c>
      <c r="D3" s="24" t="s">
        <v>39</v>
      </c>
      <c r="E3" s="24" t="s">
        <v>40</v>
      </c>
      <c r="F3" s="24" t="s">
        <v>41</v>
      </c>
      <c r="G3" s="22" t="s">
        <v>34</v>
      </c>
      <c r="H3" s="24" t="s">
        <v>42</v>
      </c>
      <c r="I3" s="24" t="s">
        <v>43</v>
      </c>
      <c r="J3" s="24" t="s">
        <v>44</v>
      </c>
    </row>
    <row r="4" customFormat="false" ht="15" hidden="false" customHeight="false" outlineLevel="0" collapsed="false">
      <c r="A4" s="19" t="n">
        <v>3</v>
      </c>
      <c r="B4" s="20" t="s">
        <v>7</v>
      </c>
      <c r="C4" s="21" t="s">
        <v>45</v>
      </c>
      <c r="D4" s="21" t="s">
        <v>46</v>
      </c>
      <c r="E4" s="21" t="s">
        <v>47</v>
      </c>
      <c r="F4" s="21" t="s">
        <v>48</v>
      </c>
      <c r="G4" s="25" t="s">
        <v>49</v>
      </c>
      <c r="H4" s="21" t="s">
        <v>50</v>
      </c>
      <c r="I4" s="21" t="s">
        <v>51</v>
      </c>
      <c r="J4" s="21" t="s">
        <v>52</v>
      </c>
    </row>
    <row r="5" customFormat="false" ht="15" hidden="false" customHeight="false" outlineLevel="0" collapsed="false">
      <c r="A5" s="23" t="n">
        <v>4</v>
      </c>
      <c r="B5" s="20" t="s">
        <v>7</v>
      </c>
      <c r="C5" s="24" t="s">
        <v>53</v>
      </c>
      <c r="D5" s="24" t="s">
        <v>54</v>
      </c>
      <c r="E5" s="24" t="s">
        <v>55</v>
      </c>
      <c r="F5" s="24" t="s">
        <v>56</v>
      </c>
      <c r="G5" s="22" t="s">
        <v>34</v>
      </c>
      <c r="H5" s="24" t="s">
        <v>57</v>
      </c>
      <c r="I5" s="24" t="s">
        <v>58</v>
      </c>
      <c r="J5" s="24" t="s">
        <v>59</v>
      </c>
    </row>
    <row r="6" customFormat="false" ht="15" hidden="false" customHeight="false" outlineLevel="0" collapsed="false">
      <c r="A6" s="19" t="n">
        <v>5</v>
      </c>
      <c r="B6" s="20" t="s">
        <v>7</v>
      </c>
      <c r="C6" s="21" t="s">
        <v>60</v>
      </c>
      <c r="D6" s="21" t="s">
        <v>61</v>
      </c>
      <c r="E6" s="21" t="s">
        <v>62</v>
      </c>
      <c r="F6" s="21" t="s">
        <v>63</v>
      </c>
      <c r="G6" s="25" t="s">
        <v>49</v>
      </c>
      <c r="H6" s="21" t="s">
        <v>50</v>
      </c>
      <c r="I6" s="21" t="s">
        <v>64</v>
      </c>
      <c r="J6" s="21" t="s">
        <v>52</v>
      </c>
    </row>
    <row r="7" customFormat="false" ht="22.35" hidden="false" customHeight="false" outlineLevel="0" collapsed="false">
      <c r="A7" s="23" t="n">
        <v>6</v>
      </c>
      <c r="B7" s="20" t="s">
        <v>7</v>
      </c>
      <c r="C7" s="24" t="s">
        <v>65</v>
      </c>
      <c r="D7" s="24" t="s">
        <v>66</v>
      </c>
      <c r="E7" s="24" t="s">
        <v>67</v>
      </c>
      <c r="F7" s="24" t="s">
        <v>68</v>
      </c>
      <c r="G7" s="22" t="s">
        <v>34</v>
      </c>
      <c r="H7" s="24" t="s">
        <v>69</v>
      </c>
      <c r="I7" s="24" t="s">
        <v>70</v>
      </c>
      <c r="J7" s="24" t="s">
        <v>52</v>
      </c>
    </row>
    <row r="8" customFormat="false" ht="15" hidden="false" customHeight="false" outlineLevel="0" collapsed="false">
      <c r="A8" s="19" t="n">
        <v>7</v>
      </c>
      <c r="B8" s="20" t="s">
        <v>7</v>
      </c>
      <c r="C8" s="21" t="s">
        <v>71</v>
      </c>
      <c r="D8" s="21" t="s">
        <v>72</v>
      </c>
      <c r="E8" s="21" t="s">
        <v>73</v>
      </c>
      <c r="F8" s="21" t="s">
        <v>74</v>
      </c>
      <c r="G8" s="22" t="s">
        <v>34</v>
      </c>
      <c r="H8" s="21" t="s">
        <v>75</v>
      </c>
      <c r="I8" s="21" t="s">
        <v>36</v>
      </c>
      <c r="J8" s="21" t="s">
        <v>52</v>
      </c>
    </row>
    <row r="9" customFormat="false" ht="15" hidden="false" customHeight="false" outlineLevel="0" collapsed="false">
      <c r="A9" s="23" t="n">
        <v>8</v>
      </c>
      <c r="B9" s="20" t="s">
        <v>7</v>
      </c>
      <c r="C9" s="24" t="s">
        <v>76</v>
      </c>
      <c r="D9" s="24" t="s">
        <v>77</v>
      </c>
      <c r="E9" s="24" t="s">
        <v>78</v>
      </c>
      <c r="F9" s="24" t="s">
        <v>79</v>
      </c>
      <c r="G9" s="22" t="s">
        <v>34</v>
      </c>
      <c r="H9" s="24" t="s">
        <v>80</v>
      </c>
      <c r="I9" s="24" t="s">
        <v>81</v>
      </c>
      <c r="J9" s="24" t="s">
        <v>52</v>
      </c>
    </row>
    <row r="10" customFormat="false" ht="15" hidden="false" customHeight="false" outlineLevel="0" collapsed="false">
      <c r="A10" s="19" t="n">
        <v>9</v>
      </c>
      <c r="B10" s="20" t="s">
        <v>7</v>
      </c>
      <c r="C10" s="21" t="s">
        <v>82</v>
      </c>
      <c r="D10" s="21" t="s">
        <v>83</v>
      </c>
      <c r="E10" s="21" t="s">
        <v>84</v>
      </c>
      <c r="F10" s="21" t="s">
        <v>85</v>
      </c>
      <c r="G10" s="25" t="s">
        <v>49</v>
      </c>
      <c r="H10" s="21" t="s">
        <v>50</v>
      </c>
      <c r="I10" s="21" t="s">
        <v>86</v>
      </c>
      <c r="J10" s="21" t="s">
        <v>52</v>
      </c>
    </row>
    <row r="11" customFormat="false" ht="15" hidden="false" customHeight="false" outlineLevel="0" collapsed="false">
      <c r="A11" s="23" t="n">
        <v>10</v>
      </c>
      <c r="B11" s="20" t="s">
        <v>7</v>
      </c>
      <c r="C11" s="24" t="s">
        <v>87</v>
      </c>
      <c r="D11" s="24" t="s">
        <v>88</v>
      </c>
      <c r="E11" s="24" t="s">
        <v>89</v>
      </c>
      <c r="F11" s="24" t="s">
        <v>90</v>
      </c>
      <c r="G11" s="25" t="s">
        <v>49</v>
      </c>
      <c r="H11" s="24" t="s">
        <v>91</v>
      </c>
      <c r="I11" s="24" t="s">
        <v>92</v>
      </c>
      <c r="J11" s="24" t="s">
        <v>52</v>
      </c>
    </row>
    <row r="12" customFormat="false" ht="15" hidden="false" customHeight="false" outlineLevel="0" collapsed="false">
      <c r="A12" s="19" t="n">
        <v>11</v>
      </c>
      <c r="B12" s="26" t="s">
        <v>9</v>
      </c>
      <c r="C12" s="21" t="s">
        <v>93</v>
      </c>
      <c r="D12" s="21" t="s">
        <v>94</v>
      </c>
      <c r="E12" s="21" t="s">
        <v>95</v>
      </c>
      <c r="F12" s="21" t="s">
        <v>96</v>
      </c>
      <c r="G12" s="22" t="s">
        <v>34</v>
      </c>
      <c r="H12" s="21" t="s">
        <v>57</v>
      </c>
      <c r="I12" s="21" t="s">
        <v>97</v>
      </c>
      <c r="J12" s="21" t="s">
        <v>98</v>
      </c>
    </row>
    <row r="13" customFormat="false" ht="15" hidden="false" customHeight="false" outlineLevel="0" collapsed="false">
      <c r="A13" s="23" t="n">
        <v>12</v>
      </c>
      <c r="B13" s="26" t="s">
        <v>9</v>
      </c>
      <c r="C13" s="24" t="s">
        <v>99</v>
      </c>
      <c r="D13" s="24" t="s">
        <v>100</v>
      </c>
      <c r="E13" s="24" t="s">
        <v>101</v>
      </c>
      <c r="F13" s="24" t="s">
        <v>102</v>
      </c>
      <c r="G13" s="22" t="s">
        <v>34</v>
      </c>
      <c r="H13" s="24" t="s">
        <v>103</v>
      </c>
      <c r="I13" s="24" t="s">
        <v>104</v>
      </c>
      <c r="J13" s="24" t="s">
        <v>105</v>
      </c>
    </row>
    <row r="14" customFormat="false" ht="15" hidden="false" customHeight="false" outlineLevel="0" collapsed="false">
      <c r="A14" s="19" t="n">
        <v>13</v>
      </c>
      <c r="B14" s="26" t="s">
        <v>9</v>
      </c>
      <c r="C14" s="21" t="s">
        <v>106</v>
      </c>
      <c r="D14" s="21" t="s">
        <v>107</v>
      </c>
      <c r="E14" s="21" t="s">
        <v>108</v>
      </c>
      <c r="F14" s="21" t="s">
        <v>109</v>
      </c>
      <c r="G14" s="27" t="s">
        <v>110</v>
      </c>
      <c r="H14" s="21" t="s">
        <v>57</v>
      </c>
      <c r="I14" s="21" t="s">
        <v>36</v>
      </c>
      <c r="J14" s="21" t="s">
        <v>111</v>
      </c>
    </row>
    <row r="15" customFormat="false" ht="15" hidden="false" customHeight="false" outlineLevel="0" collapsed="false">
      <c r="A15" s="23" t="n">
        <v>14</v>
      </c>
      <c r="B15" s="26" t="s">
        <v>9</v>
      </c>
      <c r="C15" s="24" t="s">
        <v>112</v>
      </c>
      <c r="D15" s="24" t="s">
        <v>113</v>
      </c>
      <c r="E15" s="24" t="s">
        <v>114</v>
      </c>
      <c r="F15" s="24" t="s">
        <v>115</v>
      </c>
      <c r="G15" s="25" t="s">
        <v>49</v>
      </c>
      <c r="H15" s="24" t="s">
        <v>50</v>
      </c>
      <c r="I15" s="24" t="s">
        <v>116</v>
      </c>
      <c r="J15" s="24" t="s">
        <v>117</v>
      </c>
    </row>
    <row r="16" customFormat="false" ht="15" hidden="false" customHeight="false" outlineLevel="0" collapsed="false">
      <c r="A16" s="19" t="n">
        <v>15</v>
      </c>
      <c r="B16" s="26" t="s">
        <v>9</v>
      </c>
      <c r="C16" s="21" t="s">
        <v>118</v>
      </c>
      <c r="D16" s="21" t="s">
        <v>119</v>
      </c>
      <c r="E16" s="21" t="s">
        <v>120</v>
      </c>
      <c r="F16" s="21" t="s">
        <v>121</v>
      </c>
      <c r="G16" s="25" t="s">
        <v>49</v>
      </c>
      <c r="H16" s="21" t="s">
        <v>91</v>
      </c>
      <c r="I16" s="21" t="s">
        <v>122</v>
      </c>
      <c r="J16" s="21" t="s">
        <v>52</v>
      </c>
    </row>
    <row r="17" customFormat="false" ht="15" hidden="false" customHeight="false" outlineLevel="0" collapsed="false">
      <c r="A17" s="23" t="n">
        <v>16</v>
      </c>
      <c r="B17" s="26" t="s">
        <v>9</v>
      </c>
      <c r="C17" s="24" t="s">
        <v>123</v>
      </c>
      <c r="D17" s="24" t="s">
        <v>124</v>
      </c>
      <c r="E17" s="24" t="s">
        <v>125</v>
      </c>
      <c r="F17" s="24" t="s">
        <v>126</v>
      </c>
      <c r="G17" s="22" t="s">
        <v>34</v>
      </c>
      <c r="H17" s="24" t="s">
        <v>127</v>
      </c>
      <c r="I17" s="24" t="s">
        <v>116</v>
      </c>
      <c r="J17" s="24" t="s">
        <v>128</v>
      </c>
    </row>
    <row r="18" customFormat="false" ht="15" hidden="false" customHeight="false" outlineLevel="0" collapsed="false">
      <c r="A18" s="19" t="n">
        <v>17</v>
      </c>
      <c r="B18" s="26" t="s">
        <v>9</v>
      </c>
      <c r="C18" s="21" t="s">
        <v>129</v>
      </c>
      <c r="D18" s="21" t="s">
        <v>130</v>
      </c>
      <c r="E18" s="21" t="s">
        <v>131</v>
      </c>
      <c r="F18" s="21" t="s">
        <v>132</v>
      </c>
      <c r="G18" s="25" t="s">
        <v>49</v>
      </c>
      <c r="H18" s="21" t="s">
        <v>133</v>
      </c>
      <c r="I18" s="21" t="s">
        <v>134</v>
      </c>
      <c r="J18" s="21" t="s">
        <v>52</v>
      </c>
    </row>
    <row r="19" customFormat="false" ht="22.35" hidden="false" customHeight="false" outlineLevel="0" collapsed="false">
      <c r="A19" s="23" t="n">
        <v>18</v>
      </c>
      <c r="B19" s="26" t="s">
        <v>9</v>
      </c>
      <c r="C19" s="24" t="s">
        <v>135</v>
      </c>
      <c r="D19" s="24" t="s">
        <v>136</v>
      </c>
      <c r="E19" s="24" t="s">
        <v>137</v>
      </c>
      <c r="F19" s="24" t="s">
        <v>138</v>
      </c>
      <c r="G19" s="22" t="s">
        <v>34</v>
      </c>
      <c r="H19" s="24" t="s">
        <v>139</v>
      </c>
      <c r="I19" s="24" t="s">
        <v>140</v>
      </c>
      <c r="J19" s="24" t="s">
        <v>52</v>
      </c>
    </row>
    <row r="20" customFormat="false" ht="15" hidden="false" customHeight="false" outlineLevel="0" collapsed="false">
      <c r="A20" s="19" t="n">
        <v>19</v>
      </c>
      <c r="B20" s="26" t="s">
        <v>9</v>
      </c>
      <c r="C20" s="21" t="s">
        <v>141</v>
      </c>
      <c r="D20" s="21" t="s">
        <v>142</v>
      </c>
      <c r="E20" s="21" t="s">
        <v>143</v>
      </c>
      <c r="F20" s="21" t="s">
        <v>144</v>
      </c>
      <c r="G20" s="22" t="s">
        <v>34</v>
      </c>
      <c r="H20" s="21" t="s">
        <v>145</v>
      </c>
      <c r="I20" s="21" t="s">
        <v>146</v>
      </c>
      <c r="J20" s="21" t="s">
        <v>147</v>
      </c>
    </row>
    <row r="21" customFormat="false" ht="22.35" hidden="false" customHeight="false" outlineLevel="0" collapsed="false">
      <c r="A21" s="23" t="n">
        <v>20</v>
      </c>
      <c r="B21" s="28" t="s">
        <v>11</v>
      </c>
      <c r="C21" s="24" t="s">
        <v>148</v>
      </c>
      <c r="D21" s="24" t="s">
        <v>149</v>
      </c>
      <c r="E21" s="24" t="s">
        <v>150</v>
      </c>
      <c r="F21" s="24" t="s">
        <v>151</v>
      </c>
      <c r="G21" s="27" t="s">
        <v>110</v>
      </c>
      <c r="H21" s="24" t="s">
        <v>152</v>
      </c>
      <c r="I21" s="24" t="s">
        <v>153</v>
      </c>
      <c r="J21" s="24" t="s">
        <v>154</v>
      </c>
    </row>
    <row r="22" customFormat="false" ht="15" hidden="false" customHeight="false" outlineLevel="0" collapsed="false">
      <c r="A22" s="19" t="n">
        <v>21</v>
      </c>
      <c r="B22" s="28" t="s">
        <v>11</v>
      </c>
      <c r="C22" s="21" t="s">
        <v>155</v>
      </c>
      <c r="D22" s="21" t="s">
        <v>156</v>
      </c>
      <c r="E22" s="21" t="s">
        <v>157</v>
      </c>
      <c r="F22" s="21" t="s">
        <v>158</v>
      </c>
      <c r="G22" s="25" t="s">
        <v>49</v>
      </c>
      <c r="H22" s="21" t="s">
        <v>91</v>
      </c>
      <c r="I22" s="21" t="s">
        <v>159</v>
      </c>
      <c r="J22" s="21" t="s">
        <v>52</v>
      </c>
    </row>
    <row r="23" customFormat="false" ht="15" hidden="false" customHeight="false" outlineLevel="0" collapsed="false">
      <c r="A23" s="23" t="n">
        <v>22</v>
      </c>
      <c r="B23" s="28" t="s">
        <v>11</v>
      </c>
      <c r="C23" s="24" t="s">
        <v>160</v>
      </c>
      <c r="D23" s="24" t="s">
        <v>161</v>
      </c>
      <c r="E23" s="24" t="s">
        <v>162</v>
      </c>
      <c r="F23" s="24" t="s">
        <v>163</v>
      </c>
      <c r="G23" s="25" t="s">
        <v>49</v>
      </c>
      <c r="H23" s="24" t="s">
        <v>50</v>
      </c>
      <c r="I23" s="24" t="s">
        <v>164</v>
      </c>
      <c r="J23" s="24" t="s">
        <v>165</v>
      </c>
    </row>
    <row r="24" customFormat="false" ht="22.35" hidden="false" customHeight="false" outlineLevel="0" collapsed="false">
      <c r="A24" s="19" t="n">
        <v>23</v>
      </c>
      <c r="B24" s="28" t="s">
        <v>11</v>
      </c>
      <c r="C24" s="21" t="s">
        <v>166</v>
      </c>
      <c r="D24" s="21" t="s">
        <v>167</v>
      </c>
      <c r="E24" s="21" t="s">
        <v>168</v>
      </c>
      <c r="F24" s="21" t="s">
        <v>169</v>
      </c>
      <c r="G24" s="22" t="s">
        <v>34</v>
      </c>
      <c r="H24" s="21" t="s">
        <v>170</v>
      </c>
      <c r="I24" s="21" t="s">
        <v>171</v>
      </c>
      <c r="J24" s="21" t="s">
        <v>172</v>
      </c>
    </row>
    <row r="25" customFormat="false" ht="15" hidden="false" customHeight="false" outlineLevel="0" collapsed="false">
      <c r="A25" s="23" t="n">
        <v>24</v>
      </c>
      <c r="B25" s="28" t="s">
        <v>11</v>
      </c>
      <c r="C25" s="24" t="s">
        <v>173</v>
      </c>
      <c r="D25" s="24" t="s">
        <v>174</v>
      </c>
      <c r="E25" s="24" t="s">
        <v>175</v>
      </c>
      <c r="F25" s="24" t="s">
        <v>176</v>
      </c>
      <c r="G25" s="25" t="s">
        <v>49</v>
      </c>
      <c r="H25" s="24" t="s">
        <v>177</v>
      </c>
      <c r="I25" s="24" t="s">
        <v>178</v>
      </c>
      <c r="J25" s="24" t="s">
        <v>52</v>
      </c>
    </row>
    <row r="26" customFormat="false" ht="15" hidden="false" customHeight="false" outlineLevel="0" collapsed="false">
      <c r="A26" s="19" t="n">
        <v>25</v>
      </c>
      <c r="B26" s="28" t="s">
        <v>11</v>
      </c>
      <c r="C26" s="21" t="s">
        <v>179</v>
      </c>
      <c r="D26" s="21" t="s">
        <v>180</v>
      </c>
      <c r="E26" s="21" t="s">
        <v>181</v>
      </c>
      <c r="F26" s="21" t="s">
        <v>182</v>
      </c>
      <c r="G26" s="25" t="s">
        <v>49</v>
      </c>
      <c r="H26" s="21" t="s">
        <v>183</v>
      </c>
      <c r="I26" s="21" t="s">
        <v>184</v>
      </c>
      <c r="J26" s="21" t="s">
        <v>185</v>
      </c>
    </row>
    <row r="27" customFormat="false" ht="15" hidden="false" customHeight="false" outlineLevel="0" collapsed="false">
      <c r="A27" s="23" t="n">
        <v>26</v>
      </c>
      <c r="B27" s="29" t="s">
        <v>13</v>
      </c>
      <c r="C27" s="24" t="s">
        <v>186</v>
      </c>
      <c r="D27" s="24" t="s">
        <v>187</v>
      </c>
      <c r="E27" s="24" t="s">
        <v>188</v>
      </c>
      <c r="F27" s="24" t="s">
        <v>189</v>
      </c>
      <c r="G27" s="22" t="s">
        <v>34</v>
      </c>
      <c r="H27" s="24" t="s">
        <v>57</v>
      </c>
      <c r="I27" s="24" t="s">
        <v>190</v>
      </c>
      <c r="J27" s="24" t="s">
        <v>191</v>
      </c>
    </row>
    <row r="28" customFormat="false" ht="15" hidden="false" customHeight="false" outlineLevel="0" collapsed="false">
      <c r="A28" s="19" t="n">
        <v>27</v>
      </c>
      <c r="B28" s="29" t="s">
        <v>13</v>
      </c>
      <c r="C28" s="21" t="s">
        <v>192</v>
      </c>
      <c r="D28" s="21" t="s">
        <v>193</v>
      </c>
      <c r="E28" s="21" t="s">
        <v>194</v>
      </c>
      <c r="F28" s="21" t="s">
        <v>195</v>
      </c>
      <c r="G28" s="22" t="s">
        <v>34</v>
      </c>
      <c r="H28" s="21" t="s">
        <v>196</v>
      </c>
      <c r="I28" s="21" t="s">
        <v>197</v>
      </c>
      <c r="J28" s="21" t="s">
        <v>52</v>
      </c>
    </row>
    <row r="29" customFormat="false" ht="15" hidden="false" customHeight="false" outlineLevel="0" collapsed="false">
      <c r="A29" s="23" t="n">
        <v>28</v>
      </c>
      <c r="B29" s="29" t="s">
        <v>13</v>
      </c>
      <c r="C29" s="24" t="s">
        <v>198</v>
      </c>
      <c r="D29" s="24" t="s">
        <v>199</v>
      </c>
      <c r="E29" s="24" t="s">
        <v>200</v>
      </c>
      <c r="F29" s="24" t="s">
        <v>201</v>
      </c>
      <c r="G29" s="25" t="s">
        <v>49</v>
      </c>
      <c r="H29" s="24" t="s">
        <v>202</v>
      </c>
      <c r="I29" s="24" t="s">
        <v>197</v>
      </c>
      <c r="J29" s="24" t="s">
        <v>52</v>
      </c>
    </row>
    <row r="30" customFormat="false" ht="15" hidden="false" customHeight="false" outlineLevel="0" collapsed="false">
      <c r="A30" s="19" t="n">
        <v>29</v>
      </c>
      <c r="B30" s="29" t="s">
        <v>13</v>
      </c>
      <c r="C30" s="21" t="s">
        <v>203</v>
      </c>
      <c r="D30" s="21" t="s">
        <v>204</v>
      </c>
      <c r="E30" s="21" t="s">
        <v>205</v>
      </c>
      <c r="F30" s="21" t="s">
        <v>206</v>
      </c>
      <c r="G30" s="25" t="s">
        <v>49</v>
      </c>
      <c r="H30" s="21" t="s">
        <v>207</v>
      </c>
      <c r="I30" s="21" t="s">
        <v>208</v>
      </c>
      <c r="J30" s="21" t="s">
        <v>52</v>
      </c>
    </row>
    <row r="31" customFormat="false" ht="15" hidden="false" customHeight="false" outlineLevel="0" collapsed="false">
      <c r="A31" s="23" t="n">
        <v>30</v>
      </c>
      <c r="B31" s="29" t="s">
        <v>13</v>
      </c>
      <c r="C31" s="24" t="s">
        <v>209</v>
      </c>
      <c r="D31" s="24" t="s">
        <v>210</v>
      </c>
      <c r="E31" s="24" t="s">
        <v>211</v>
      </c>
      <c r="F31" s="24" t="s">
        <v>212</v>
      </c>
      <c r="G31" s="25" t="s">
        <v>49</v>
      </c>
      <c r="H31" s="24" t="s">
        <v>213</v>
      </c>
      <c r="I31" s="24" t="s">
        <v>214</v>
      </c>
      <c r="J31" s="24" t="s">
        <v>215</v>
      </c>
    </row>
    <row r="32" customFormat="false" ht="15" hidden="false" customHeight="false" outlineLevel="0" collapsed="false">
      <c r="A32" s="19" t="n">
        <v>31</v>
      </c>
      <c r="B32" s="29" t="s">
        <v>13</v>
      </c>
      <c r="C32" s="21" t="s">
        <v>216</v>
      </c>
      <c r="D32" s="21" t="s">
        <v>217</v>
      </c>
      <c r="E32" s="21" t="s">
        <v>218</v>
      </c>
      <c r="F32" s="21" t="s">
        <v>219</v>
      </c>
      <c r="G32" s="27" t="s">
        <v>110</v>
      </c>
      <c r="H32" s="21" t="s">
        <v>220</v>
      </c>
      <c r="I32" s="21" t="s">
        <v>221</v>
      </c>
      <c r="J32" s="21" t="s">
        <v>222</v>
      </c>
    </row>
    <row r="33" customFormat="false" ht="15" hidden="false" customHeight="false" outlineLevel="0" collapsed="false">
      <c r="A33" s="23" t="n">
        <v>32</v>
      </c>
      <c r="B33" s="30" t="s">
        <v>15</v>
      </c>
      <c r="C33" s="24" t="s">
        <v>223</v>
      </c>
      <c r="D33" s="24" t="s">
        <v>224</v>
      </c>
      <c r="E33" s="24" t="s">
        <v>225</v>
      </c>
      <c r="F33" s="24" t="s">
        <v>226</v>
      </c>
      <c r="G33" s="25" t="s">
        <v>49</v>
      </c>
      <c r="H33" s="24" t="s">
        <v>80</v>
      </c>
      <c r="I33" s="24" t="s">
        <v>227</v>
      </c>
      <c r="J33" s="24" t="s">
        <v>228</v>
      </c>
    </row>
    <row r="34" customFormat="false" ht="15" hidden="false" customHeight="false" outlineLevel="0" collapsed="false">
      <c r="A34" s="19" t="n">
        <v>33</v>
      </c>
      <c r="B34" s="30" t="s">
        <v>15</v>
      </c>
      <c r="C34" s="21" t="s">
        <v>229</v>
      </c>
      <c r="D34" s="21" t="s">
        <v>230</v>
      </c>
      <c r="E34" s="21" t="s">
        <v>231</v>
      </c>
      <c r="F34" s="21" t="s">
        <v>232</v>
      </c>
      <c r="G34" s="22" t="s">
        <v>34</v>
      </c>
      <c r="H34" s="21" t="s">
        <v>57</v>
      </c>
      <c r="I34" s="21" t="s">
        <v>233</v>
      </c>
      <c r="J34" s="21" t="s">
        <v>234</v>
      </c>
    </row>
    <row r="35" customFormat="false" ht="15" hidden="false" customHeight="false" outlineLevel="0" collapsed="false">
      <c r="A35" s="23" t="n">
        <v>34</v>
      </c>
      <c r="B35" s="30" t="s">
        <v>15</v>
      </c>
      <c r="C35" s="24" t="s">
        <v>235</v>
      </c>
      <c r="D35" s="24" t="s">
        <v>236</v>
      </c>
      <c r="E35" s="24" t="s">
        <v>237</v>
      </c>
      <c r="F35" s="24" t="s">
        <v>238</v>
      </c>
      <c r="G35" s="22" t="s">
        <v>34</v>
      </c>
      <c r="H35" s="24" t="s">
        <v>42</v>
      </c>
      <c r="I35" s="24" t="s">
        <v>239</v>
      </c>
      <c r="J35" s="24" t="s">
        <v>240</v>
      </c>
    </row>
    <row r="36" customFormat="false" ht="15" hidden="false" customHeight="false" outlineLevel="0" collapsed="false">
      <c r="A36" s="19" t="n">
        <v>35</v>
      </c>
      <c r="B36" s="30" t="s">
        <v>15</v>
      </c>
      <c r="C36" s="21" t="s">
        <v>241</v>
      </c>
      <c r="D36" s="21" t="s">
        <v>242</v>
      </c>
      <c r="E36" s="21" t="s">
        <v>243</v>
      </c>
      <c r="F36" s="21" t="s">
        <v>244</v>
      </c>
      <c r="G36" s="25" t="s">
        <v>49</v>
      </c>
      <c r="H36" s="21" t="s">
        <v>245</v>
      </c>
      <c r="I36" s="21" t="s">
        <v>246</v>
      </c>
      <c r="J36" s="21" t="s">
        <v>247</v>
      </c>
    </row>
    <row r="37" customFormat="false" ht="15" hidden="false" customHeight="false" outlineLevel="0" collapsed="false">
      <c r="A37" s="23" t="n">
        <v>36</v>
      </c>
      <c r="B37" s="30" t="s">
        <v>15</v>
      </c>
      <c r="C37" s="24" t="s">
        <v>248</v>
      </c>
      <c r="D37" s="24" t="s">
        <v>249</v>
      </c>
      <c r="E37" s="24" t="s">
        <v>250</v>
      </c>
      <c r="F37" s="24" t="s">
        <v>251</v>
      </c>
      <c r="G37" s="22" t="s">
        <v>34</v>
      </c>
      <c r="H37" s="24" t="s">
        <v>252</v>
      </c>
      <c r="I37" s="24" t="s">
        <v>227</v>
      </c>
      <c r="J37" s="24" t="s">
        <v>253</v>
      </c>
    </row>
    <row r="38" customFormat="false" ht="15" hidden="false" customHeight="false" outlineLevel="0" collapsed="false">
      <c r="A38" s="19" t="n">
        <v>37</v>
      </c>
      <c r="B38" s="30" t="s">
        <v>15</v>
      </c>
      <c r="C38" s="21" t="s">
        <v>254</v>
      </c>
      <c r="D38" s="21" t="s">
        <v>255</v>
      </c>
      <c r="E38" s="21" t="s">
        <v>256</v>
      </c>
      <c r="F38" s="21" t="s">
        <v>257</v>
      </c>
      <c r="G38" s="25" t="s">
        <v>49</v>
      </c>
      <c r="H38" s="21" t="s">
        <v>50</v>
      </c>
      <c r="I38" s="21" t="s">
        <v>258</v>
      </c>
      <c r="J38" s="21" t="s">
        <v>52</v>
      </c>
    </row>
    <row r="39" customFormat="false" ht="15" hidden="false" customHeight="false" outlineLevel="0" collapsed="false">
      <c r="A39" s="23" t="n">
        <v>38</v>
      </c>
      <c r="B39" s="31" t="s">
        <v>17</v>
      </c>
      <c r="C39" s="24" t="s">
        <v>259</v>
      </c>
      <c r="D39" s="24" t="s">
        <v>260</v>
      </c>
      <c r="E39" s="24" t="s">
        <v>261</v>
      </c>
      <c r="F39" s="24" t="s">
        <v>262</v>
      </c>
      <c r="G39" s="22" t="s">
        <v>34</v>
      </c>
      <c r="H39" s="24" t="s">
        <v>263</v>
      </c>
      <c r="I39" s="24" t="s">
        <v>264</v>
      </c>
      <c r="J39" s="24" t="s">
        <v>265</v>
      </c>
    </row>
    <row r="40" customFormat="false" ht="22.35" hidden="false" customHeight="false" outlineLevel="0" collapsed="false">
      <c r="A40" s="19" t="n">
        <v>39</v>
      </c>
      <c r="B40" s="31" t="s">
        <v>17</v>
      </c>
      <c r="C40" s="21" t="s">
        <v>266</v>
      </c>
      <c r="D40" s="21" t="s">
        <v>267</v>
      </c>
      <c r="E40" s="21" t="s">
        <v>268</v>
      </c>
      <c r="F40" s="21" t="s">
        <v>48</v>
      </c>
      <c r="G40" s="25" t="s">
        <v>49</v>
      </c>
      <c r="H40" s="21" t="s">
        <v>269</v>
      </c>
      <c r="I40" s="21" t="s">
        <v>264</v>
      </c>
      <c r="J40" s="21" t="s">
        <v>52</v>
      </c>
    </row>
    <row r="41" customFormat="false" ht="15" hidden="false" customHeight="false" outlineLevel="0" collapsed="false">
      <c r="A41" s="23" t="n">
        <v>40</v>
      </c>
      <c r="B41" s="31" t="s">
        <v>17</v>
      </c>
      <c r="C41" s="24" t="s">
        <v>270</v>
      </c>
      <c r="D41" s="24" t="s">
        <v>271</v>
      </c>
      <c r="E41" s="24" t="s">
        <v>272</v>
      </c>
      <c r="F41" s="24" t="s">
        <v>273</v>
      </c>
      <c r="G41" s="22" t="s">
        <v>34</v>
      </c>
      <c r="H41" s="24" t="s">
        <v>274</v>
      </c>
      <c r="I41" s="24" t="s">
        <v>275</v>
      </c>
      <c r="J41" s="24" t="s">
        <v>276</v>
      </c>
    </row>
    <row r="42" customFormat="false" ht="15" hidden="false" customHeight="false" outlineLevel="0" collapsed="false">
      <c r="A42" s="19" t="n">
        <v>41</v>
      </c>
      <c r="B42" s="31" t="s">
        <v>17</v>
      </c>
      <c r="C42" s="21" t="s">
        <v>277</v>
      </c>
      <c r="D42" s="21" t="s">
        <v>278</v>
      </c>
      <c r="E42" s="21" t="s">
        <v>279</v>
      </c>
      <c r="F42" s="21" t="s">
        <v>280</v>
      </c>
      <c r="G42" s="25" t="s">
        <v>49</v>
      </c>
      <c r="H42" s="21" t="s">
        <v>91</v>
      </c>
      <c r="I42" s="21" t="s">
        <v>116</v>
      </c>
      <c r="J42" s="21" t="s">
        <v>281</v>
      </c>
    </row>
    <row r="43" customFormat="false" ht="22.35" hidden="false" customHeight="false" outlineLevel="0" collapsed="false">
      <c r="A43" s="23" t="n">
        <v>42</v>
      </c>
      <c r="B43" s="31" t="s">
        <v>17</v>
      </c>
      <c r="C43" s="24" t="s">
        <v>282</v>
      </c>
      <c r="D43" s="24" t="s">
        <v>283</v>
      </c>
      <c r="E43" s="24" t="s">
        <v>284</v>
      </c>
      <c r="F43" s="24" t="s">
        <v>285</v>
      </c>
      <c r="G43" s="22" t="s">
        <v>34</v>
      </c>
      <c r="H43" s="24" t="s">
        <v>286</v>
      </c>
      <c r="I43" s="24" t="s">
        <v>287</v>
      </c>
      <c r="J43" s="24" t="s">
        <v>234</v>
      </c>
    </row>
  </sheetData>
  <autoFilter ref="A1:J4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2026-06-20T04:12:23Z</dcterms:created>
  <dc:creator>openpyxl</dc:creator>
  <dc:description/>
  <dc:language>en-US</dc:language>
  <cp:lastModifiedBy/>
  <dcterms:modified xsi:type="dcterms:W3CDTF">2026-06-20T04:12:23Z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