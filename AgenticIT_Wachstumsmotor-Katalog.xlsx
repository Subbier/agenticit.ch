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chstumsmotor" sheetId="1" state="visible" r:id="rId3"/>
    <sheet name="Katalog" sheetId="2" state="visible" r:id="rId4"/>
    <sheet name="Prio-Matrix" sheetId="3" state="visible" r:id="rId5"/>
  </sheets>
  <definedNames>
    <definedName function="false" hidden="true" localSheetId="1" name="_xlnm._FilterDatabase" vbProcedure="false">Katalog!$A$1:$N$40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<sst xmlns="http://schemas.openxmlformats.org/spreadsheetml/2006/main" count="433" uniqueCount="338">
  <si>
    <t xml:space="preserve">AgenticIT  ·  Proaktiver Wachstumsmotor</t>
  </si>
  <si>
    <t xml:space="preserve">Signal-getriggerte Automationen, die selbst Termine setzen, Leads generieren, verkaufen, verlängern und Empfehlungen holen</t>
  </si>
  <si>
    <t xml:space="preserve">So liest du diese Liste: Der Motor läuft in 7 Stufen – der Output jeder Stufe füttert die nächste (generierte Leads → Termine → Abschlüsse → Verlängerung &amp; Expansion → Empfehlungen, die wieder neue Leads bringen). Der Unterschied zu normaler Automatisierung: Jede Zeile startet auf ein echtes KAUFSIGNAL, nicht nur auf einen Zeitplan. Der Prio-Score = Impact ÷ Aufwand zeigt die Quick Wins (höchster Score zuerst umsetzen).</t>
  </si>
  <si>
    <t xml:space="preserve">Die 7 Stufen des Motors</t>
  </si>
  <si>
    <t xml:space="preserve">Stufe</t>
  </si>
  <si>
    <t xml:space="preserve">Aufgabe im Motor</t>
  </si>
  <si>
    <t xml:space="preserve">Anzahl</t>
  </si>
  <si>
    <t xml:space="preserve">Ø Score</t>
  </si>
  <si>
    <t xml:space="preserve">1 Lead-Gen</t>
  </si>
  <si>
    <t xml:space="preserve">Neue Leads aus Kaufsignalen finden</t>
  </si>
  <si>
    <t xml:space="preserve">2 Inbound</t>
  </si>
  <si>
    <t xml:space="preserve">Anfragen sofort packen (Speed-to-Lead)</t>
  </si>
  <si>
    <t xml:space="preserve">3 Termin-Setting</t>
  </si>
  <si>
    <t xml:space="preserve">Termine autonom vereinbaren</t>
  </si>
  <si>
    <t xml:space="preserve">4 Nurture</t>
  </si>
  <si>
    <t xml:space="preserve">Leads reifen &amp; an Sales eskalieren</t>
  </si>
  <si>
    <t xml:space="preserve">5 Closing</t>
  </si>
  <si>
    <t xml:space="preserve">Deals proaktiv zum Abschluss treiben</t>
  </si>
  <si>
    <t xml:space="preserve">6 Renewal+Expansion</t>
  </si>
  <si>
    <t xml:space="preserve">Verlängern, Upsell &amp; Churn retten</t>
  </si>
  <si>
    <t xml:space="preserve">7 Empfehlung</t>
  </si>
  <si>
    <t xml:space="preserve">Empfehlungen, Reviews &amp; Advocacy ernten</t>
  </si>
  <si>
    <t xml:space="preserve">Gesamt</t>
  </si>
  <si>
    <t xml:space="preserve">Leitplanken (AgenticIT-Standard): Kundengerichtete KI klar kennzeichnen (AI-Disclosure). Outbound, Angebote, Verträge und Empfehlungs-Asks vor Versand menschlich freigeben (Human-in-the-loop). Nur öffentliche/eingewilligte Daten, DSGVO-konform. Autonomie-Level je Zeile zeigt, wie viel Mensch nötig ist.</t>
  </si>
  <si>
    <t xml:space="preserve">Nr.</t>
  </si>
  <si>
    <t xml:space="preserve">Automatisierung / Use Case</t>
  </si>
  <si>
    <t xml:space="preserve">Proaktiver Auslöser (Signal)</t>
  </si>
  <si>
    <t xml:space="preserve">Ablauf (kurz)</t>
  </si>
  <si>
    <t xml:space="preserve">Tools (n8n)</t>
  </si>
  <si>
    <t xml:space="preserve">Wirkt auf (KPI)</t>
  </si>
  <si>
    <t xml:space="preserve">Erwarteter Uplift (indikativ)</t>
  </si>
  <si>
    <t xml:space="preserve">Impact (1-5)</t>
  </si>
  <si>
    <t xml:space="preserve">Aufwand (1-3)</t>
  </si>
  <si>
    <t xml:space="preserve">Prio-Score</t>
  </si>
  <si>
    <t xml:space="preserve">Autonomie-Level</t>
  </si>
  <si>
    <t xml:space="preserve">Branchen</t>
  </si>
  <si>
    <t xml:space="preserve">Compliance / Leitplanke</t>
  </si>
  <si>
    <t xml:space="preserve">Intent-Signal-Prospecting</t>
  </si>
  <si>
    <t xml:space="preserve">Jobanzeige / Funding / Tech-Wechsel beim Zielkonto</t>
  </si>
  <si>
    <t xml:space="preserve">Kaufsignal erkennen → ICP-Match → angereicherte Liste + personalisierter Outreach-Entwurf.</t>
  </si>
  <si>
    <t xml:space="preserve">Apollo/Clay, OpenAI, CRM</t>
  </si>
  <si>
    <t xml:space="preserve">Pipeline-Volumen</t>
  </si>
  <si>
    <t xml:space="preserve">&gt;+30% qualifizierte Leads</t>
  </si>
  <si>
    <t xml:space="preserve">Assistiert</t>
  </si>
  <si>
    <t xml:space="preserve">B2B, SaaS, Agentur</t>
  </si>
  <si>
    <t xml:space="preserve">Nur öffentl. Daten; Human-Review vor Versand</t>
  </si>
  <si>
    <t xml:space="preserve">Website-Visitor-Identifikation → Outbound</t>
  </si>
  <si>
    <t xml:space="preserve">Anonymer Firmen-Besucher auf High-Intent-Seite</t>
  </si>
  <si>
    <t xml:space="preserve">Besucher firmografisch identifizieren → SDR-Alert + passende Sequenz.</t>
  </si>
  <si>
    <t xml:space="preserve">Leadfeeder/RB2B, CRM, Slack</t>
  </si>
  <si>
    <t xml:space="preserve">Inbound→Outbound-Quote</t>
  </si>
  <si>
    <t xml:space="preserve">+20-40% genutzte Intent-Signale</t>
  </si>
  <si>
    <t xml:space="preserve">B2B, SaaS</t>
  </si>
  <si>
    <t xml:space="preserve">DSGVO: keine Personen-Identifikation ohne Basis</t>
  </si>
  <si>
    <t xml:space="preserve">Social-Engagement-Mining</t>
  </si>
  <si>
    <t xml:space="preserve">Interaktion mit eigenem/Wettbewerber-Content</t>
  </si>
  <si>
    <t xml:space="preserve">Engager als Lead erfassen → Connect + kontextbezogene Nachricht.</t>
  </si>
  <si>
    <t xml:space="preserve">LinkedIn-API/PhantomBuster, CRM</t>
  </si>
  <si>
    <t xml:space="preserve">Top-of-Funnel</t>
  </si>
  <si>
    <t xml:space="preserve">Wärmere Leads, höhere Antwortrate</t>
  </si>
  <si>
    <t xml:space="preserve">B2B, Coaching, Agentur</t>
  </si>
  <si>
    <t xml:space="preserve">Plattform-AGB; kein Spam</t>
  </si>
  <si>
    <t xml:space="preserve">Lookalike-Liste aus Best-Kunden</t>
  </si>
  <si>
    <t xml:space="preserve">Neuer Top-Kunde (Closed-Won)</t>
  </si>
  <si>
    <t xml:space="preserve">Merkmale extrahieren → ähnliche Firmen finden → Ziel-Liste bauen.</t>
  </si>
  <si>
    <t xml:space="preserve">Clay, Enrichment, CRM</t>
  </si>
  <si>
    <t xml:space="preserve">Listen-Qualität</t>
  </si>
  <si>
    <t xml:space="preserve">Treffsicherere Zielkonten</t>
  </si>
  <si>
    <t xml:space="preserve">Halb-autonom</t>
  </si>
  <si>
    <t xml:space="preserve">B2B, Vertrieb</t>
  </si>
  <si>
    <t xml:space="preserve">DSGVO; Quellenprüfung</t>
  </si>
  <si>
    <t xml:space="preserve">Trigger-Event-Monitoring (News/PR)</t>
  </si>
  <si>
    <t xml:space="preserve">Expansion, Leitungswechsel, Standorteröffnung</t>
  </si>
  <si>
    <t xml:space="preserve">Relevantes Event erkennen → Timing-perfekte, personalisierte Ansprache.</t>
  </si>
  <si>
    <t xml:space="preserve">News-API, OpenAI, CRM</t>
  </si>
  <si>
    <t xml:space="preserve">Antwortrate</t>
  </si>
  <si>
    <t xml:space="preserve">Höhere Relevanz &amp; Reply-Rate</t>
  </si>
  <si>
    <t xml:space="preserve">B2B, Immobilien, Finanz</t>
  </si>
  <si>
    <t xml:space="preserve">Human-Review</t>
  </si>
  <si>
    <t xml:space="preserve">Wettbewerber-Review-Mining</t>
  </si>
  <si>
    <t xml:space="preserve">Negative Bewertung beim Wettbewerber</t>
  </si>
  <si>
    <t xml:space="preserve">Unzufriedene Kunden erkennen → wertorientierter, taktvoller Outreach.</t>
  </si>
  <si>
    <t xml:space="preserve">Scraping (legal), OpenAI, CRM</t>
  </si>
  <si>
    <t xml:space="preserve">Switch-Pipeline</t>
  </si>
  <si>
    <t xml:space="preserve">Günstige Abwerbe-Chancen</t>
  </si>
  <si>
    <t xml:space="preserve">Lokal, E-Commerce, SaaS</t>
  </si>
  <si>
    <t xml:space="preserve">Fair, kein Bad-Mouthing; DSGVO</t>
  </si>
  <si>
    <t xml:space="preserve">Regionale Lead-Recherche (Maps/Verzeichnisse)</t>
  </si>
  <si>
    <t xml:space="preserve">Neues Unternehmen/Branche in Zielregion</t>
  </si>
  <si>
    <t xml:space="preserve">Öffentliche Quellen sammeln → qualifizierte, angereicherte Liste.</t>
  </si>
  <si>
    <t xml:space="preserve">Maps-API, Sheets, OpenAI</t>
  </si>
  <si>
    <t xml:space="preserve">Listen-Aufbau</t>
  </si>
  <si>
    <t xml:space="preserve">Skalierbarer Listenbau</t>
  </si>
  <si>
    <t xml:space="preserve">Lokal, B2B-Dienstleistung</t>
  </si>
  <si>
    <t xml:space="preserve">Nur öffentl. Daten; DSGVO</t>
  </si>
  <si>
    <t xml:space="preserve">Speed-to-Lead &lt; 60 Sekunden</t>
  </si>
  <si>
    <t xml:space="preserve">Inbound-Formular/Anfrage eingegangen</t>
  </si>
  <si>
    <t xml:space="preserve">Sofort SMS + Anruf-Routing + Terminslot, bevor der Lead abkühlt.</t>
  </si>
  <si>
    <t xml:space="preserve">Webhook, Twilio, Calendar, CRM</t>
  </si>
  <si>
    <t xml:space="preserve">Kontaktquote</t>
  </si>
  <si>
    <t xml:space="preserve">Bis 9x höhere Kontaktrate</t>
  </si>
  <si>
    <t xml:space="preserve">Alle, Immobilien, Versicherung</t>
  </si>
  <si>
    <t xml:space="preserve">Opt-in; AI-Disclosure bei Auto-SMS</t>
  </si>
  <si>
    <t xml:space="preserve">Lead-Magnet-Auslieferung + Sequenz</t>
  </si>
  <si>
    <t xml:space="preserve">Download/Opt-in abgeschlossen</t>
  </si>
  <si>
    <t xml:space="preserve">Asset sofort liefern → passende Nurture-Sequenz automatisch starten.</t>
  </si>
  <si>
    <t xml:space="preserve">Forms, E-Mail-Tool, CRM</t>
  </si>
  <si>
    <t xml:space="preserve">Lead→MQL</t>
  </si>
  <si>
    <t xml:space="preserve">Mehr aktivierte Leads</t>
  </si>
  <si>
    <t xml:space="preserve">Autonom</t>
  </si>
  <si>
    <t xml:space="preserve">Alle, Coaching, B2B</t>
  </si>
  <si>
    <t xml:space="preserve">Werbe-Einwilligung</t>
  </si>
  <si>
    <t xml:space="preserve">KI-Chat-zu-Termin</t>
  </si>
  <si>
    <t xml:space="preserve">Website-Chat mit Kaufabsicht</t>
  </si>
  <si>
    <t xml:space="preserve">KI qualifiziert im Dialog und bucht direkt einen Termin.</t>
  </si>
  <si>
    <t xml:space="preserve">Chat-Widget, OpenAI, Calendar</t>
  </si>
  <si>
    <t xml:space="preserve">Demo-Buchungen</t>
  </si>
  <si>
    <t xml:space="preserve">+Conversion aus Web-Traffic</t>
  </si>
  <si>
    <t xml:space="preserve">SaaS, Dienstleistung</t>
  </si>
  <si>
    <t xml:space="preserve">AI-Disclosure Pflicht</t>
  </si>
  <si>
    <t xml:space="preserve">Inbound-Call-Qualifizierung (Voice-AI)</t>
  </si>
  <si>
    <t xml:space="preserve">Eingehender Anruf</t>
  </si>
  <si>
    <t xml:space="preserve">KI nimmt an, qualifiziert und bucht oder routet an Mensch.</t>
  </si>
  <si>
    <t xml:space="preserve">Voice-AI, Calendar, CRM</t>
  </si>
  <si>
    <t xml:space="preserve">Erreichbarkeit</t>
  </si>
  <si>
    <t xml:space="preserve">Keine verpassten Anfragen</t>
  </si>
  <si>
    <t xml:space="preserve">Praxis, Handwerk, Service</t>
  </si>
  <si>
    <t xml:space="preserve">AI-Disclosure; Aufzeichnungs-Einwilligung</t>
  </si>
  <si>
    <t xml:space="preserve">Recovery abgebrochener Formulare</t>
  </si>
  <si>
    <t xml:space="preserve">Formular begonnen, nicht abgeschickt</t>
  </si>
  <si>
    <t xml:space="preserve">Erfasste Daten nutzen → freundlicher Anstoß zur Fertigstellung.</t>
  </si>
  <si>
    <t xml:space="preserve">Form-Tracking, SMTP, CRM</t>
  </si>
  <si>
    <t xml:space="preserve">Formular-Conversion</t>
  </si>
  <si>
    <t xml:space="preserve">Zurückgewonnene Anfragen</t>
  </si>
  <si>
    <t xml:space="preserve">E-Commerce, SaaS, Versicherung</t>
  </si>
  <si>
    <t xml:space="preserve">DSGVO: nur mit Einwilligung</t>
  </si>
  <si>
    <t xml:space="preserve">Autonomes Terminsetzen per E-Mail (KI-SDR)</t>
  </si>
  <si>
    <t xml:space="preserve">Lead antwortet positiv auf Outreach</t>
  </si>
  <si>
    <t xml:space="preserve">KI schlägt Slots vor, klärt Rückfragen und bucht den Termin.</t>
  </si>
  <si>
    <t xml:space="preserve">OpenAI, Calendar, CRM</t>
  </si>
  <si>
    <t xml:space="preserve">Gebuchte Termine</t>
  </si>
  <si>
    <t xml:space="preserve">Mehr Termine ohne Mehrarbeit</t>
  </si>
  <si>
    <t xml:space="preserve">B2B, Agentur, SaaS</t>
  </si>
  <si>
    <t xml:space="preserve">Human-Checkpoint bei Sonderfällen</t>
  </si>
  <si>
    <t xml:space="preserve">No-Show-Rebooking</t>
  </si>
  <si>
    <t xml:space="preserve">Termin verpasst</t>
  </si>
  <si>
    <t xml:space="preserve">Automatisch neuen Slot anbieten und Show-Rate sichern.</t>
  </si>
  <si>
    <t xml:space="preserve">Calendar, Twilio, SMTP</t>
  </si>
  <si>
    <t xml:space="preserve">Show-Rate</t>
  </si>
  <si>
    <t xml:space="preserve">Weniger verlorene Termine</t>
  </si>
  <si>
    <t xml:space="preserve">Alle, Praxis, Beratung</t>
  </si>
  <si>
    <t xml:space="preserve">—</t>
  </si>
  <si>
    <t xml:space="preserve">Show-Rate-Booster-Sequenz</t>
  </si>
  <si>
    <t xml:space="preserve">Termin gebucht</t>
  </si>
  <si>
    <t xml:space="preserve">Multi-Touch-Reminder (Mail/SMS) + Vorbereitungs-Wert senden.</t>
  </si>
  <si>
    <t xml:space="preserve">-30-50% No-Shows</t>
  </si>
  <si>
    <t xml:space="preserve">Alle, Coaching, Sales</t>
  </si>
  <si>
    <t xml:space="preserve">Opt-in für SMS</t>
  </si>
  <si>
    <t xml:space="preserve">Kalt-Lead-Reaktivierung zu Termin</t>
  </si>
  <si>
    <t xml:space="preserve">Lead X Tage ohne Aktivität</t>
  </si>
  <si>
    <t xml:space="preserve">Re-Engage mit neuem Aufhänger → direkt Buchungs-Link.</t>
  </si>
  <si>
    <t xml:space="preserve">CRM, OpenAI, Calendar</t>
  </si>
  <si>
    <t xml:space="preserve">Wiederbelebte Leads</t>
  </si>
  <si>
    <t xml:space="preserve">Termine aus toter Pipeline</t>
  </si>
  <si>
    <t xml:space="preserve">Human-Review der Ansprache</t>
  </si>
  <si>
    <t xml:space="preserve">Verhaltensbasierte Nurture-Sequenz</t>
  </si>
  <si>
    <t xml:space="preserve">Engagement-/Verhaltenssignal</t>
  </si>
  <si>
    <t xml:space="preserve">Passenden Content-Track automatisch nach Interesse ausspielen.</t>
  </si>
  <si>
    <t xml:space="preserve">CRM, Analytics, E-Mail-Tool</t>
  </si>
  <si>
    <t xml:space="preserve">Lead→SQL</t>
  </si>
  <si>
    <t xml:space="preserve">Reifere Leads beim Sales</t>
  </si>
  <si>
    <t xml:space="preserve">Alle, SaaS, B2B</t>
  </si>
  <si>
    <t xml:space="preserve">Lead-Scoring-Eskalation an Sales</t>
  </si>
  <si>
    <t xml:space="preserve">Score überschreitet Schwelle</t>
  </si>
  <si>
    <t xml:space="preserve">SDR-Alert mit vollem Kontext + nächstem besten Schritt.</t>
  </si>
  <si>
    <t xml:space="preserve">CRM, OpenAI, Slack</t>
  </si>
  <si>
    <t xml:space="preserve">Sales-Reaktionszeit</t>
  </si>
  <si>
    <t xml:space="preserve">Hot Leads zuerst</t>
  </si>
  <si>
    <t xml:space="preserve">B2B, SaaS, Vertrieb</t>
  </si>
  <si>
    <t xml:space="preserve">Lost-Deal-Reaktivierung</t>
  </si>
  <si>
    <t xml:space="preserve">Verlorener Deal + neues Trigger-Event</t>
  </si>
  <si>
    <t xml:space="preserve">Bei passendem Anlass automatisch wieder andocken.</t>
  </si>
  <si>
    <t xml:space="preserve">CRM, News-API, OpenAI</t>
  </si>
  <si>
    <t xml:space="preserve">Reaktivierte Deals</t>
  </si>
  <si>
    <t xml:space="preserve">Zweite Chance auf Umsatz</t>
  </si>
  <si>
    <t xml:space="preserve">B2B, Immobilien</t>
  </si>
  <si>
    <t xml:space="preserve">Sales-Alert bei High-Intent-Content</t>
  </si>
  <si>
    <t xml:space="preserve">Pricing-/Case-Study-Seite angesehen</t>
  </si>
  <si>
    <t xml:space="preserve">Kaufabsicht erkennen → sofortiger Sales-Alert mit Kontext.</t>
  </si>
  <si>
    <t xml:space="preserve">Analytics, CRM, Slack</t>
  </si>
  <si>
    <t xml:space="preserve">Conversion-Timing</t>
  </si>
  <si>
    <t xml:space="preserve">Perfektes Timing für Pitch</t>
  </si>
  <si>
    <t xml:space="preserve">SaaS, B2B</t>
  </si>
  <si>
    <t xml:space="preserve">DSGVO: Tracking-Einwilligung</t>
  </si>
  <si>
    <t xml:space="preserve">Newsletter→SQL-Pipeline</t>
  </si>
  <si>
    <t xml:space="preserve">Wiederkehrendes Klick-Engagement</t>
  </si>
  <si>
    <t xml:space="preserve">Engagement-Muster erkennen → Übergabe als Sales-Qualified-Lead.</t>
  </si>
  <si>
    <t xml:space="preserve">E-Mail-Tool, CRM</t>
  </si>
  <si>
    <t xml:space="preserve">MQL→SQL</t>
  </si>
  <si>
    <t xml:space="preserve">Mehr Sales aus Bestandsliste</t>
  </si>
  <si>
    <t xml:space="preserve">Alle, B2B</t>
  </si>
  <si>
    <t xml:space="preserve">Einwilligung</t>
  </si>
  <si>
    <t xml:space="preserve">KI-Angebots-/Proposal-Generierung</t>
  </si>
  <si>
    <t xml:space="preserve">Discovery abgeschlossen (Stage-Wechsel)</t>
  </si>
  <si>
    <t xml:space="preserve">Angebot/Proposal automatisch aus CRM-Daten entwerfen.</t>
  </si>
  <si>
    <t xml:space="preserve">CRM, OpenAI, PandaDoc</t>
  </si>
  <si>
    <t xml:space="preserve">Angebots-Durchlaufzeit</t>
  </si>
  <si>
    <t xml:space="preserve">Schneller beim Kunden</t>
  </si>
  <si>
    <t xml:space="preserve">B2B, Agentur, Dienstleistung</t>
  </si>
  <si>
    <t xml:space="preserve">Human-Freigabe vor Versand</t>
  </si>
  <si>
    <t xml:space="preserve">Deal-Follow-up-Autopilot</t>
  </si>
  <si>
    <t xml:space="preserve">Angebot 48h ohne Reaktion</t>
  </si>
  <si>
    <t xml:space="preserve">Wertorientiertes Follow-up statt Druck, automatisch getaktet.</t>
  </si>
  <si>
    <t xml:space="preserve">CRM, OpenAI, SMTP</t>
  </si>
  <si>
    <t xml:space="preserve">Abschlussquote</t>
  </si>
  <si>
    <t xml:space="preserve">+15-25% Close-Rate</t>
  </si>
  <si>
    <t xml:space="preserve">Einwand-Handling-Assist</t>
  </si>
  <si>
    <t xml:space="preserve">Einwand-Stichwort im Mail-Thread</t>
  </si>
  <si>
    <t xml:space="preserve">Passende Antwort + Beleg/Material dem Vertrieb vorschlagen.</t>
  </si>
  <si>
    <t xml:space="preserve">OpenAI, CRM, Drive</t>
  </si>
  <si>
    <t xml:space="preserve">Win-Rate</t>
  </si>
  <si>
    <t xml:space="preserve">Schnellere Einwand-Lösung</t>
  </si>
  <si>
    <t xml:space="preserve">B2B, Sales</t>
  </si>
  <si>
    <t xml:space="preserve">Human-in-the-loop</t>
  </si>
  <si>
    <t xml:space="preserve">Vertrags- &amp; E-Signatur-Versand</t>
  </si>
  <si>
    <t xml:space="preserve">Mündliches Ja / Stage = Abschluss</t>
  </si>
  <si>
    <t xml:space="preserve">Vertrag generieren + Signatur-Link senden + nachfassen.</t>
  </si>
  <si>
    <t xml:space="preserve">DocuSign, CRM, SMTP</t>
  </si>
  <si>
    <t xml:space="preserve">Time-to-Close</t>
  </si>
  <si>
    <t xml:space="preserve">Schnellerer Abschluss</t>
  </si>
  <si>
    <t xml:space="preserve">Rechtsprüfung der Vorlage</t>
  </si>
  <si>
    <t xml:space="preserve">Stalled-Deal-Recovery</t>
  </si>
  <si>
    <t xml:space="preserve">Deal X Tage ohne Bewegung</t>
  </si>
  <si>
    <t xml:space="preserve">Multi-Threading + Reaktivierungs-Play automatisch anstoßen.</t>
  </si>
  <si>
    <t xml:space="preserve">Pipeline-Velocity</t>
  </si>
  <si>
    <t xml:space="preserve">Weniger versandende Deals</t>
  </si>
  <si>
    <t xml:space="preserve">Genehmigtes Angebot/Rabatt-Freigabe</t>
  </si>
  <si>
    <t xml:space="preserve">Definierte Bedingungen erfüllt</t>
  </si>
  <si>
    <t xml:space="preserve">Innerhalb Regeln automatisch freigegebenes Angebot ausspielen.</t>
  </si>
  <si>
    <t xml:space="preserve">CRM, Approval-Flow</t>
  </si>
  <si>
    <t xml:space="preserve">Sales-Zyklus</t>
  </si>
  <si>
    <t xml:space="preserve">Schnellere Freigaben</t>
  </si>
  <si>
    <t xml:space="preserve">B2B, Retail</t>
  </si>
  <si>
    <t xml:space="preserve">Klare Freigabe-Grenzen</t>
  </si>
  <si>
    <t xml:space="preserve">Renewal-Autopilot (90/60/30 Tage)</t>
  </si>
  <si>
    <t xml:space="preserve">Vertragsablauf nähert sich</t>
  </si>
  <si>
    <t xml:space="preserve">Wert-Report + Verlängerungs-Termin proaktiv vor Ablauf.</t>
  </si>
  <si>
    <t xml:space="preserve">CRM, Looker, Calendar</t>
  </si>
  <si>
    <t xml:space="preserve">Renewal-Rate</t>
  </si>
  <si>
    <t xml:space="preserve">+Verlängerungsquote</t>
  </si>
  <si>
    <t xml:space="preserve">Versicherung, SaaS, Abo</t>
  </si>
  <si>
    <t xml:space="preserve">Human-Freigabe</t>
  </si>
  <si>
    <t xml:space="preserve">Usage-basierter Upsell-Trigger</t>
  </si>
  <si>
    <t xml:space="preserve">Nutzungs-/Erfolgs-Schwelle erreicht</t>
  </si>
  <si>
    <t xml:space="preserve">Im richtigen Moment passendes Upgrade anbieten.</t>
  </si>
  <si>
    <t xml:space="preserve">Analytics, CRM, SMTP</t>
  </si>
  <si>
    <t xml:space="preserve">Net Revenue Retention</t>
  </si>
  <si>
    <t xml:space="preserve">+Umsatz je Kunde</t>
  </si>
  <si>
    <t xml:space="preserve">SaaS, Abo, Versicherung</t>
  </si>
  <si>
    <t xml:space="preserve">Human-Review bei Angebot</t>
  </si>
  <si>
    <t xml:space="preserve">Next-Best-Offer Cross-Sell (KI)</t>
  </si>
  <si>
    <t xml:space="preserve">Kauf-/Nutzungsmuster erkannt</t>
  </si>
  <si>
    <t xml:space="preserve">KI bestimmt bestes Zusatzangebot und spielt es aus.</t>
  </si>
  <si>
    <t xml:space="preserve">CRM, OpenAI, E-Mail-Tool</t>
  </si>
  <si>
    <t xml:space="preserve">Cross-Sell-Umsatz</t>
  </si>
  <si>
    <t xml:space="preserve">Höherer Warenkorb</t>
  </si>
  <si>
    <t xml:space="preserve">E-Commerce, SaaS, Bank</t>
  </si>
  <si>
    <t xml:space="preserve">DSGVO: Profilbildung</t>
  </si>
  <si>
    <t xml:space="preserve">At-Risk-Renewal-Rettung</t>
  </si>
  <si>
    <t xml:space="preserve">Health-Score sinkt vor Renewal</t>
  </si>
  <si>
    <t xml:space="preserve">Frühwarnung → gezieltes Save-Play + AM-Alert.</t>
  </si>
  <si>
    <t xml:space="preserve">Gross Retention</t>
  </si>
  <si>
    <t xml:space="preserve">Gerettete Verträge</t>
  </si>
  <si>
    <t xml:space="preserve">SaaS, Abo, B2B</t>
  </si>
  <si>
    <t xml:space="preserve">Proaktive Rechnungs-/Preis-Kommunikation</t>
  </si>
  <si>
    <t xml:space="preserve">Stichtag (Anpassung/Verlängerung)</t>
  </si>
  <si>
    <t xml:space="preserve">Klar und frühzeitig kommunizieren – ohne böse Überraschung.</t>
  </si>
  <si>
    <t xml:space="preserve">CRM, SMTP</t>
  </si>
  <si>
    <t xml:space="preserve">Zahlungsquote/Zufriedenheit</t>
  </si>
  <si>
    <t xml:space="preserve">Weniger Reibung &amp; Churn</t>
  </si>
  <si>
    <t xml:space="preserve">Alle, Abo</t>
  </si>
  <si>
    <t xml:space="preserve">Transparenz Pflicht</t>
  </si>
  <si>
    <t xml:space="preserve">Win-back nach Churn</t>
  </si>
  <si>
    <t xml:space="preserve">Gekündigt + Zeit/Trigger erreicht</t>
  </si>
  <si>
    <t xml:space="preserve">Zeitversetztes, anlassbezogenes Rückhol-Angebot.</t>
  </si>
  <si>
    <t xml:space="preserve">Reaktivierungsrate</t>
  </si>
  <si>
    <t xml:space="preserve">Zurückgewonnene Kunden</t>
  </si>
  <si>
    <t xml:space="preserve">Abo, SaaS, Fitness</t>
  </si>
  <si>
    <t xml:space="preserve">Referral-Ask zum NPS-Peak</t>
  </si>
  <si>
    <t xml:space="preserve">Hoher NPS / Promotor erkannt</t>
  </si>
  <si>
    <t xml:space="preserve">Genau im Zufriedenheits-Peak um Empfehlung bitten.</t>
  </si>
  <si>
    <t xml:space="preserve">NPS-Tool, CRM, SMTP</t>
  </si>
  <si>
    <t xml:space="preserve">Empfehlungsrate</t>
  </si>
  <si>
    <t xml:space="preserve">Mehr warme Leads</t>
  </si>
  <si>
    <t xml:space="preserve">Alle, B2B, Dienstleistung</t>
  </si>
  <si>
    <t xml:space="preserve">Echtheit; DSGVO bei Drittkontakt</t>
  </si>
  <si>
    <t xml:space="preserve">Review-Generierung zum Erfolgsmoment</t>
  </si>
  <si>
    <t xml:space="preserve">Erfolgs-/Lieferungs-Meilenstein</t>
  </si>
  <si>
    <t xml:space="preserve">Im besten Moment automatisch um Bewertung bitten.</t>
  </si>
  <si>
    <t xml:space="preserve">CRM, Google/Trustpilot, SMTP</t>
  </si>
  <si>
    <t xml:space="preserve">Online-Reputation</t>
  </si>
  <si>
    <t xml:space="preserve">Mehr &amp; bessere Reviews</t>
  </si>
  <si>
    <t xml:space="preserve">Lokal, E-Commerce, Gastro</t>
  </si>
  <si>
    <t xml:space="preserve">Keine Anreiz-Manipulation</t>
  </si>
  <si>
    <t xml:space="preserve">Empfehlungs-Belohnungs-Loop</t>
  </si>
  <si>
    <t xml:space="preserve">Empfehlung erfolgreich konvertiert</t>
  </si>
  <si>
    <t xml:space="preserve">Beide Seiten belohnen + nächste Empfehlungs-Runde anstoßen.</t>
  </si>
  <si>
    <t xml:space="preserve">Referral-Tool, CRM</t>
  </si>
  <si>
    <t xml:space="preserve">Viraler Koeffizient</t>
  </si>
  <si>
    <t xml:space="preserve">Selbstverstärkende Leads</t>
  </si>
  <si>
    <t xml:space="preserve">E-Commerce, SaaS</t>
  </si>
  <si>
    <t xml:space="preserve">DSGVO bei Drittkontakt</t>
  </si>
  <si>
    <t xml:space="preserve">Case-Study-/Testimonial-Pipeline</t>
  </si>
  <si>
    <t xml:space="preserve">Erfolgskriterien erfüllt</t>
  </si>
  <si>
    <t xml:space="preserve">Top-Kunden automatisch zur Erfolgsgeschichte einladen + erfassen.</t>
  </si>
  <si>
    <t xml:space="preserve">Social Proof / Sales-Assets</t>
  </si>
  <si>
    <t xml:space="preserve">Stärkere Abschluss-Assets</t>
  </si>
  <si>
    <t xml:space="preserve">Einwilligung zur Nennung</t>
  </si>
  <si>
    <t xml:space="preserve">Social-Proof-Recycling → Outbound</t>
  </si>
  <si>
    <t xml:space="preserve">Neues Testimonial/Review erfasst</t>
  </si>
  <si>
    <t xml:space="preserve">Frischen Social Proof automatisch in Outbound-Sequenzen einspeisen.</t>
  </si>
  <si>
    <t xml:space="preserve">CRM, OpenAI, Sales-Tool</t>
  </si>
  <si>
    <t xml:space="preserve">Reply-/Close-Rate</t>
  </si>
  <si>
    <t xml:space="preserve">Glaubwürdigeres Outbound</t>
  </si>
  <si>
    <t xml:space="preserve">B2B, Agentur</t>
  </si>
  <si>
    <t xml:space="preserve">Echtheit; Freigabe</t>
  </si>
  <si>
    <t xml:space="preserve">Partner-/Affiliate-Reaktivierung</t>
  </si>
  <si>
    <t xml:space="preserve">Partner X Tage inaktiv</t>
  </si>
  <si>
    <t xml:space="preserve">Reaktivierungs-Nudge + neue Anreize automatisch.</t>
  </si>
  <si>
    <t xml:space="preserve">CRM/PRM, SMTP</t>
  </si>
  <si>
    <t xml:space="preserve">Partner-Pipeline</t>
  </si>
  <si>
    <t xml:space="preserve">Mehr Umsatz über Partner</t>
  </si>
  <si>
    <t xml:space="preserve">SaaS, B2B, Handel</t>
  </si>
  <si>
    <t xml:space="preserve">Aufwand</t>
  </si>
  <si>
    <t xml:space="preserve">Impact</t>
  </si>
  <si>
    <t xml:space="preserve">Nr</t>
  </si>
  <si>
    <t xml:space="preserve">Priorisierungs-Matrix  ·  Impact × Aufwand</t>
  </si>
  <si>
    <t xml:space="preserve">Oben-links = Quick Wins (hoher Impact, niedriger Aufwand) zuerst umsetzen. Punkte = Nr. aus dem Katalog.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</si>
</sst>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2A3F"/>
      <name val="Arial"/>
      <family val="0"/>
      <charset val="1"/>
    </font>
    <font>
      <i val="true"/>
      <sz val="11"/>
      <color rgb="FF1FB6A6"/>
      <name val="Arial"/>
      <family val="0"/>
      <charset val="1"/>
    </font>
    <font>
      <sz val="10"/>
      <color rgb="FF34495E"/>
      <name val="Arial"/>
      <family val="0"/>
      <charset val="1"/>
    </font>
    <font>
      <b val="true"/>
      <sz val="13"/>
      <color rgb="FF0F2A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34495E"/>
      <name val="Arial"/>
      <family val="0"/>
      <charset val="1"/>
    </font>
    <font>
      <b val="true"/>
      <sz val="11"/>
      <color rgb="FF0F2A3F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F2A3F"/>
      <name val="Arial"/>
      <family val="0"/>
      <charset val="1"/>
    </font>
    <font>
      <sz val="9"/>
      <color rgb="FF2C3E50"/>
      <name val="Arial"/>
      <family val="0"/>
      <charset val="1"/>
    </font>
    <font>
      <b val="true"/>
      <sz val="16"/>
      <color rgb="FF0F2A3F"/>
      <name val="Arial"/>
      <family val="0"/>
      <charset val="1"/>
    </font>
    <font>
      <i val="true"/>
      <sz val="10"/>
      <color rgb="FF7F8C8D"/>
      <name val="Arial"/>
      <family val="0"/>
      <charset val="1"/>
    </font>
    <font>
      <b val="true"/>
      <sz val="18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F2A3F"/>
        <bgColor rgb="FF2C3E50"/>
      </patternFill>
    </fill>
    <fill>
      <patternFill patternType="solid">
        <fgColor rgb="FF2980B9"/>
        <bgColor rgb="FF008080"/>
      </patternFill>
    </fill>
    <fill>
      <patternFill patternType="solid">
        <fgColor rgb="FF1ABC9C"/>
        <bgColor rgb="FF1FB6A6"/>
      </patternFill>
    </fill>
    <fill>
      <patternFill patternType="solid">
        <fgColor rgb="FF8E44AD"/>
        <bgColor rgb="FF993366"/>
      </patternFill>
    </fill>
    <fill>
      <patternFill patternType="solid">
        <fgColor rgb="FFF39C12"/>
        <bgColor rgb="FFB7950B"/>
      </patternFill>
    </fill>
    <fill>
      <patternFill patternType="solid">
        <fgColor rgb="FFE74C3C"/>
        <bgColor rgb="FFFF8080"/>
      </patternFill>
    </fill>
    <fill>
      <patternFill patternType="solid">
        <fgColor rgb="FF16A085"/>
        <bgColor rgb="FF1FB6A6"/>
      </patternFill>
    </fill>
    <fill>
      <patternFill patternType="solid">
        <fgColor rgb="FFB7950B"/>
        <bgColor rgb="FFF39C12"/>
      </patternFill>
    </fill>
    <fill>
      <patternFill patternType="solid">
        <fgColor rgb="FFEBF5FB"/>
        <bgColor rgb="FFF2F4F5"/>
      </patternFill>
    </fill>
    <fill>
      <patternFill patternType="solid">
        <fgColor rgb="FFF2F4F5"/>
        <bgColor rgb="FFEBF5FB"/>
      </patternFill>
    </fill>
    <fill>
      <patternFill patternType="solid">
        <fgColor rgb="FFFCF3CF"/>
        <bgColor rgb="FFF2F4F5"/>
      </patternFill>
    </fill>
    <fill>
      <patternFill patternType="solid">
        <fgColor rgb="FFD5F5E3"/>
        <bgColor rgb="FFEB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0F2A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6A085"/>
          <bgColor rgb="FF000000"/>
        </patternFill>
      </fill>
    </dxf>
    <dxf>
      <fill>
        <patternFill patternType="solid">
          <fgColor rgb="FF1ABC9C"/>
          <bgColor rgb="FF000000"/>
        </patternFill>
      </fill>
    </dxf>
    <dxf>
      <fill>
        <patternFill patternType="solid">
          <fgColor rgb="FF2980B9"/>
          <bgColor rgb="FF000000"/>
        </patternFill>
      </fill>
    </dxf>
    <dxf>
      <fill>
        <patternFill patternType="solid">
          <fgColor rgb="FF8E44AD"/>
          <bgColor rgb="FF000000"/>
        </patternFill>
      </fill>
    </dxf>
    <dxf>
      <fill>
        <patternFill patternType="solid">
          <fgColor rgb="FFB7950B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ill>
        <patternFill patternType="solid">
          <fgColor rgb="FFF39C12"/>
          <bgColor rgb="FF000000"/>
        </patternFill>
      </fill>
    </dxf>
    <dxf>
      <fill>
        <patternFill patternType="solid">
          <fgColor rgb="FFF2F4F5"/>
          <bgColor rgb="FF000000"/>
        </patternFill>
      </fill>
    </dxf>
    <dxf>
      <fill>
        <patternFill patternType="solid">
          <fgColor rgb="FF2C3E50"/>
          <bgColor rgb="FF000000"/>
        </patternFill>
      </fill>
    </dxf>
    <dxf>
      <fill>
        <patternFill patternType="solid">
          <fgColor rgb="FF7DCEA0"/>
          <bgColor rgb="FF000000"/>
        </patternFill>
      </fill>
    </dxf>
    <dxf>
      <fill>
        <patternFill patternType="solid">
          <fgColor rgb="FFA1D69F"/>
          <bgColor rgb="FF000000"/>
        </patternFill>
      </fill>
    </dxf>
    <dxf>
      <fill>
        <patternFill patternType="solid">
          <fgColor rgb="FFC4DD9F"/>
          <bgColor rgb="FF000000"/>
        </patternFill>
      </fill>
    </dxf>
    <dxf>
      <fill>
        <patternFill patternType="solid">
          <fgColor rgb="FFD6E09F"/>
          <bgColor rgb="FF000000"/>
        </patternFill>
      </fill>
    </dxf>
    <dxf>
      <fill>
        <patternFill patternType="solid">
          <fgColor rgb="FFE8E49F"/>
          <bgColor rgb="FF000000"/>
        </patternFill>
      </fill>
    </dxf>
    <dxf>
      <fill>
        <patternFill patternType="solid">
          <fgColor rgb="FFF3E69F"/>
          <bgColor rgb="FF000000"/>
        </patternFill>
      </fill>
    </dxf>
    <dxf>
      <fill>
        <patternFill patternType="solid">
          <fgColor rgb="FFF7D79B"/>
          <bgColor rgb="FF000000"/>
        </patternFill>
      </fill>
    </dxf>
    <dxf>
      <fill>
        <patternFill patternType="solid">
          <fgColor rgb="FFF9E79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FCF3C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2980B9"/>
      <rgbColor rgb="FFD9D9D9"/>
      <rgbColor rgb="FF7F8C8D"/>
      <rgbColor rgb="FF9999FF"/>
      <rgbColor rgb="FF8E44AD"/>
      <rgbColor rgb="FFFCF3CF"/>
      <rgbColor rgb="FFEBF5FB"/>
      <rgbColor rgb="FF660066"/>
      <rgbColor rgb="FFFF8080"/>
      <rgbColor rgb="FF0066CC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1ABC9C"/>
      <rgbColor rgb="FFF2F4F5"/>
      <rgbColor rgb="FFD5F5E3"/>
      <rgbColor rgb="FFFFFF99"/>
      <rgbColor rgb="FF99CCFF"/>
      <rgbColor rgb="FFFF99CC"/>
      <rgbColor rgb="FFCC99FF"/>
      <rgbColor rgb="FFFFCC99"/>
      <rgbColor rgb="FF3366FF"/>
      <rgbColor rgb="FF1FB6A6"/>
      <rgbColor rgb="FF99CC00"/>
      <rgbColor rgb="FFFFCC00"/>
      <rgbColor rgb="FFF39C12"/>
      <rgbColor rgb="FFE74C3C"/>
      <rgbColor rgb="FF666699"/>
      <rgbColor rgb="FF969696"/>
      <rgbColor rgb="FF0F2A3F"/>
      <rgbColor rgb="FF16A085"/>
      <rgbColor rgb="FF003300"/>
      <rgbColor rgb="FF333300"/>
      <rgbColor rgb="FF993300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Impact (Y) vs. Aufwand (X)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FFFFFF"/>
            </a:solidFill>
            <a:ln w="12600">
              <a:noFill/>
            </a:ln>
          </c:spPr>
          <c:marker>
            <c:symbol val="circle"/>
            <c:size val="9"/>
            <c:spPr>
              <a:noFill/>
            </c:spPr>
          </c:marker>
          <c:smooth val="1"/>
        </c:ser>
        <c:axId val="94636139"/>
        <c:axId val="96729088"/>
      </c:scatterChart>
      <c:valAx>
        <c:axId val="94636139"/>
        <c:scaling>
          <c:orientation val="minMax"/>
          <c:max val="3.5"/>
          <c:min val="0.5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Aufwand (1=niedrig, 3=hoch)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729088"/>
        <c:crosses val="autoZero"/>
        <c:crossBetween val="midCat"/>
      </c:valAx>
      <c:valAx>
        <c:axId val="96729088"/>
        <c:scaling>
          <c:orientation val="minMax"/>
          <c:max val="5.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Impact (1-5)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63613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16</xdr:col>
      <xdr:colOff>581760</xdr:colOff>
      <xdr:row>26</xdr:row>
      <xdr:rowOff>128520</xdr:rowOff>
    </xdr:to>
    <xdr:graphicFrame>
      <xdr:nvGraphicFramePr>
        <xdr:cNvPr id="1" name="Chart 1"/>
        <xdr:cNvGraphicFramePr/>
      </xdr:nvGraphicFramePr>
      <xdr:xfrm>
        <a:off x="611640" y="8215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0"/>
    <col collapsed="false" customWidth="true" hidden="false" outlineLevel="0" max="7" min="4" style="0" width="11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3"/>
      <c r="C6" s="3"/>
      <c r="D6" s="3"/>
      <c r="E6" s="3"/>
      <c r="F6" s="3"/>
      <c r="G6" s="3"/>
    </row>
    <row r="7" customFormat="false" ht="15" hidden="false" customHeight="false" outlineLevel="0" collapsed="false">
      <c r="B7" s="3"/>
      <c r="C7" s="3"/>
      <c r="D7" s="3"/>
      <c r="E7" s="3"/>
      <c r="F7" s="3"/>
      <c r="G7" s="3"/>
    </row>
    <row r="8" customFormat="false" ht="15" hidden="false" customHeight="false" outlineLevel="0" collapsed="false">
      <c r="B8" s="3"/>
      <c r="C8" s="3"/>
      <c r="D8" s="3"/>
      <c r="E8" s="3"/>
      <c r="F8" s="3"/>
      <c r="G8" s="3"/>
    </row>
    <row r="10" customFormat="false" ht="16.15" hidden="false" customHeight="false" outlineLevel="0" collapsed="false">
      <c r="B10" s="4" t="s">
        <v>3</v>
      </c>
    </row>
    <row r="11" customFormat="false" ht="15" hidden="false" customHeight="false" outlineLevel="0" collapsed="false">
      <c r="B11" s="5" t="s">
        <v>4</v>
      </c>
      <c r="C11" s="5" t="s">
        <v>5</v>
      </c>
      <c r="D11" s="5" t="s">
        <v>6</v>
      </c>
      <c r="E11" s="5" t="s">
        <v>7</v>
      </c>
    </row>
    <row r="12" customFormat="false" ht="15" hidden="false" customHeight="false" outlineLevel="0" collapsed="false">
      <c r="B12" s="6" t="s">
        <v>8</v>
      </c>
      <c r="C12" s="7" t="s">
        <v>9</v>
      </c>
      <c r="D12" s="8" t="n">
        <f aca="false">COUNTIF(Katalog!B:B,"1 Lead-Gen")</f>
        <v>7</v>
      </c>
      <c r="E12" s="8" t="n">
        <f aca="false">ROUND(AVERAGEIF(Katalog!B:B,"1 Lead-Gen",Katalog!K:K),2)</f>
        <v>1.88</v>
      </c>
    </row>
    <row r="13" customFormat="false" ht="15" hidden="false" customHeight="false" outlineLevel="0" collapsed="false">
      <c r="B13" s="9" t="s">
        <v>10</v>
      </c>
      <c r="C13" s="7" t="s">
        <v>11</v>
      </c>
      <c r="D13" s="8" t="n">
        <f aca="false">COUNTIF(Katalog!B:B,"2 Inbound")</f>
        <v>5</v>
      </c>
      <c r="E13" s="8" t="n">
        <f aca="false">ROUND(AVERAGEIF(Katalog!B:B,"2 Inbound",Katalog!K:K),2)</f>
        <v>2.27</v>
      </c>
    </row>
    <row r="14" customFormat="false" ht="15" hidden="false" customHeight="false" outlineLevel="0" collapsed="false">
      <c r="B14" s="10" t="s">
        <v>12</v>
      </c>
      <c r="C14" s="7" t="s">
        <v>13</v>
      </c>
      <c r="D14" s="8" t="n">
        <f aca="false">COUNTIF(Katalog!B:B,"3 Termin-Setting")</f>
        <v>4</v>
      </c>
      <c r="E14" s="8" t="n">
        <f aca="false">ROUND(AVERAGEIF(Katalog!B:B,"3 Termin-Setting",Katalog!K:K),2)</f>
        <v>2.92</v>
      </c>
    </row>
    <row r="15" customFormat="false" ht="15" hidden="false" customHeight="false" outlineLevel="0" collapsed="false">
      <c r="B15" s="11" t="s">
        <v>14</v>
      </c>
      <c r="C15" s="7" t="s">
        <v>15</v>
      </c>
      <c r="D15" s="8" t="n">
        <f aca="false">COUNTIF(Katalog!B:B,"4 Nurture")</f>
        <v>5</v>
      </c>
      <c r="E15" s="8" t="n">
        <f aca="false">ROUND(AVERAGEIF(Katalog!B:B,"4 Nurture",Katalog!K:K),2)</f>
        <v>2.4</v>
      </c>
    </row>
    <row r="16" customFormat="false" ht="15" hidden="false" customHeight="false" outlineLevel="0" collapsed="false">
      <c r="B16" s="12" t="s">
        <v>16</v>
      </c>
      <c r="C16" s="7" t="s">
        <v>17</v>
      </c>
      <c r="D16" s="8" t="n">
        <f aca="false">COUNTIF(Katalog!B:B,"5 Closing")</f>
        <v>6</v>
      </c>
      <c r="E16" s="8" t="n">
        <f aca="false">ROUND(AVERAGEIF(Katalog!B:B,"5 Closing",Katalog!K:K),2)</f>
        <v>2.42</v>
      </c>
    </row>
    <row r="17" customFormat="false" ht="15" hidden="false" customHeight="false" outlineLevel="0" collapsed="false">
      <c r="B17" s="13" t="s">
        <v>18</v>
      </c>
      <c r="C17" s="7" t="s">
        <v>19</v>
      </c>
      <c r="D17" s="8" t="n">
        <f aca="false">COUNTIF(Katalog!B:B,"6 Renewal+Expansion")</f>
        <v>6</v>
      </c>
      <c r="E17" s="8" t="n">
        <f aca="false">ROUND(AVERAGEIF(Katalog!B:B,"6 Renewal+Expansion",Katalog!K:K),2)</f>
        <v>2.83</v>
      </c>
    </row>
    <row r="18" customFormat="false" ht="15" hidden="false" customHeight="false" outlineLevel="0" collapsed="false">
      <c r="B18" s="14" t="s">
        <v>20</v>
      </c>
      <c r="C18" s="7" t="s">
        <v>21</v>
      </c>
      <c r="D18" s="8" t="n">
        <f aca="false">COUNTIF(Katalog!B:B,"7 Empfehlung")</f>
        <v>6</v>
      </c>
      <c r="E18" s="8" t="n">
        <f aca="false">ROUND(AVERAGEIF(Katalog!B:B,"7 Empfehlung",Katalog!K:K),2)</f>
        <v>3.08</v>
      </c>
    </row>
    <row r="19" customFormat="false" ht="15" hidden="false" customHeight="false" outlineLevel="0" collapsed="false">
      <c r="B19" s="15" t="s">
        <v>22</v>
      </c>
      <c r="C19" s="16"/>
      <c r="D19" s="17" t="n">
        <f aca="false">SUM(D12:D18)</f>
        <v>39</v>
      </c>
      <c r="E19" s="16"/>
    </row>
    <row r="21" customFormat="false" ht="15" hidden="false" customHeight="true" outlineLevel="0" collapsed="false">
      <c r="B21" s="18" t="s">
        <v>23</v>
      </c>
      <c r="C21" s="18"/>
      <c r="D21" s="18"/>
      <c r="E21" s="18"/>
      <c r="F21" s="18"/>
      <c r="G21" s="18"/>
    </row>
    <row r="22" customFormat="false" ht="15" hidden="false" customHeight="false" outlineLevel="0" collapsed="false">
      <c r="B22" s="18"/>
      <c r="C22" s="18"/>
      <c r="D22" s="18"/>
      <c r="E22" s="18"/>
      <c r="F22" s="18"/>
      <c r="G22" s="18"/>
    </row>
    <row r="23" customFormat="false" ht="15" hidden="false" customHeight="false" outlineLevel="0" collapsed="false">
      <c r="B23" s="18"/>
      <c r="C23" s="18"/>
      <c r="D23" s="18"/>
      <c r="E23" s="18"/>
      <c r="F23" s="18"/>
      <c r="G23" s="18"/>
    </row>
    <row r="24" customFormat="false" ht="15" hidden="false" customHeight="false" outlineLevel="0" collapsed="false">
      <c r="B24" s="18"/>
      <c r="C24" s="18"/>
      <c r="D24" s="18"/>
      <c r="E24" s="18"/>
      <c r="F24" s="18"/>
      <c r="G24" s="18"/>
    </row>
  </sheetData>
  <mergeCells count="3">
    <mergeCell ref="B3:G3"/>
    <mergeCell ref="B5:G8"/>
    <mergeCell ref="B21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27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11" min="9" style="0" width="9"/>
    <col collapsed="false" customWidth="true" hidden="false" outlineLevel="0" max="12" min="12" style="0" width="14"/>
    <col collapsed="false" customWidth="true" hidden="false" outlineLevel="0" max="13" min="13" style="0" width="22"/>
    <col collapsed="false" customWidth="true" hidden="false" outlineLevel="0" max="14" min="14" style="0" width="30"/>
  </cols>
  <sheetData>
    <row r="1" customFormat="false" ht="33.75" hidden="false" customHeight="true" outlineLevel="0" collapsed="false">
      <c r="A1" s="19" t="s">
        <v>24</v>
      </c>
      <c r="B1" s="19" t="s">
        <v>4</v>
      </c>
      <c r="C1" s="19" t="s">
        <v>25</v>
      </c>
      <c r="D1" s="19" t="s">
        <v>26</v>
      </c>
      <c r="E1" s="19" t="s">
        <v>27</v>
      </c>
      <c r="F1" s="19" t="s">
        <v>28</v>
      </c>
      <c r="G1" s="19" t="s">
        <v>29</v>
      </c>
      <c r="H1" s="19" t="s">
        <v>30</v>
      </c>
      <c r="I1" s="19" t="s">
        <v>31</v>
      </c>
      <c r="J1" s="19" t="s">
        <v>32</v>
      </c>
      <c r="K1" s="19" t="s">
        <v>33</v>
      </c>
      <c r="L1" s="19" t="s">
        <v>34</v>
      </c>
      <c r="M1" s="19" t="s">
        <v>35</v>
      </c>
      <c r="N1" s="19" t="s">
        <v>36</v>
      </c>
    </row>
    <row r="2" customFormat="false" ht="22.35" hidden="false" customHeight="false" outlineLevel="0" collapsed="false">
      <c r="A2" s="20" t="n">
        <v>1</v>
      </c>
      <c r="B2" s="21" t="s">
        <v>8</v>
      </c>
      <c r="C2" s="22" t="s">
        <v>37</v>
      </c>
      <c r="D2" s="22" t="s">
        <v>38</v>
      </c>
      <c r="E2" s="22" t="s">
        <v>39</v>
      </c>
      <c r="F2" s="22" t="s">
        <v>40</v>
      </c>
      <c r="G2" s="22" t="s">
        <v>41</v>
      </c>
      <c r="H2" s="22" t="s">
        <v>42</v>
      </c>
      <c r="I2" s="23" t="n">
        <v>5</v>
      </c>
      <c r="J2" s="23" t="n">
        <v>3</v>
      </c>
      <c r="K2" s="24" t="n">
        <f aca="false">ROUND(I2/J2,2)</f>
        <v>1.67</v>
      </c>
      <c r="L2" s="25" t="s">
        <v>43</v>
      </c>
      <c r="M2" s="22" t="s">
        <v>44</v>
      </c>
      <c r="N2" s="22" t="s">
        <v>45</v>
      </c>
    </row>
    <row r="3" customFormat="false" ht="22.35" hidden="false" customHeight="false" outlineLevel="0" collapsed="false">
      <c r="A3" s="20" t="n">
        <v>2</v>
      </c>
      <c r="B3" s="21" t="s">
        <v>8</v>
      </c>
      <c r="C3" s="26" t="s">
        <v>46</v>
      </c>
      <c r="D3" s="26" t="s">
        <v>47</v>
      </c>
      <c r="E3" s="26" t="s">
        <v>48</v>
      </c>
      <c r="F3" s="26" t="s">
        <v>49</v>
      </c>
      <c r="G3" s="26" t="s">
        <v>50</v>
      </c>
      <c r="H3" s="26" t="s">
        <v>51</v>
      </c>
      <c r="I3" s="23" t="n">
        <v>5</v>
      </c>
      <c r="J3" s="23" t="n">
        <v>2</v>
      </c>
      <c r="K3" s="24" t="n">
        <f aca="false">ROUND(I3/J3,2)</f>
        <v>2.5</v>
      </c>
      <c r="L3" s="25" t="s">
        <v>43</v>
      </c>
      <c r="M3" s="26" t="s">
        <v>52</v>
      </c>
      <c r="N3" s="26" t="s">
        <v>53</v>
      </c>
    </row>
    <row r="4" customFormat="false" ht="22.35" hidden="false" customHeight="false" outlineLevel="0" collapsed="false">
      <c r="A4" s="20" t="n">
        <v>3</v>
      </c>
      <c r="B4" s="21" t="s">
        <v>8</v>
      </c>
      <c r="C4" s="22" t="s">
        <v>54</v>
      </c>
      <c r="D4" s="22" t="s">
        <v>55</v>
      </c>
      <c r="E4" s="22" t="s">
        <v>56</v>
      </c>
      <c r="F4" s="22" t="s">
        <v>57</v>
      </c>
      <c r="G4" s="22" t="s">
        <v>58</v>
      </c>
      <c r="H4" s="22" t="s">
        <v>59</v>
      </c>
      <c r="I4" s="23" t="n">
        <v>4</v>
      </c>
      <c r="J4" s="23" t="n">
        <v>2</v>
      </c>
      <c r="K4" s="24" t="n">
        <f aca="false">ROUND(I4/J4,2)</f>
        <v>2</v>
      </c>
      <c r="L4" s="25" t="s">
        <v>43</v>
      </c>
      <c r="M4" s="22" t="s">
        <v>60</v>
      </c>
      <c r="N4" s="22" t="s">
        <v>61</v>
      </c>
    </row>
    <row r="5" customFormat="false" ht="22.35" hidden="false" customHeight="false" outlineLevel="0" collapsed="false">
      <c r="A5" s="20" t="n">
        <v>4</v>
      </c>
      <c r="B5" s="21" t="s">
        <v>8</v>
      </c>
      <c r="C5" s="26" t="s">
        <v>62</v>
      </c>
      <c r="D5" s="26" t="s">
        <v>63</v>
      </c>
      <c r="E5" s="26" t="s">
        <v>64</v>
      </c>
      <c r="F5" s="26" t="s">
        <v>65</v>
      </c>
      <c r="G5" s="26" t="s">
        <v>66</v>
      </c>
      <c r="H5" s="26" t="s">
        <v>67</v>
      </c>
      <c r="I5" s="23" t="n">
        <v>4</v>
      </c>
      <c r="J5" s="23" t="n">
        <v>2</v>
      </c>
      <c r="K5" s="24" t="n">
        <f aca="false">ROUND(I5/J5,2)</f>
        <v>2</v>
      </c>
      <c r="L5" s="27" t="s">
        <v>68</v>
      </c>
      <c r="M5" s="26" t="s">
        <v>69</v>
      </c>
      <c r="N5" s="26" t="s">
        <v>70</v>
      </c>
    </row>
    <row r="6" customFormat="false" ht="22.35" hidden="false" customHeight="false" outlineLevel="0" collapsed="false">
      <c r="A6" s="20" t="n">
        <v>5</v>
      </c>
      <c r="B6" s="21" t="s">
        <v>8</v>
      </c>
      <c r="C6" s="22" t="s">
        <v>71</v>
      </c>
      <c r="D6" s="22" t="s">
        <v>72</v>
      </c>
      <c r="E6" s="22" t="s">
        <v>73</v>
      </c>
      <c r="F6" s="22" t="s">
        <v>74</v>
      </c>
      <c r="G6" s="22" t="s">
        <v>75</v>
      </c>
      <c r="H6" s="22" t="s">
        <v>76</v>
      </c>
      <c r="I6" s="23" t="n">
        <v>4</v>
      </c>
      <c r="J6" s="23" t="n">
        <v>2</v>
      </c>
      <c r="K6" s="24" t="n">
        <f aca="false">ROUND(I6/J6,2)</f>
        <v>2</v>
      </c>
      <c r="L6" s="25" t="s">
        <v>43</v>
      </c>
      <c r="M6" s="22" t="s">
        <v>77</v>
      </c>
      <c r="N6" s="22" t="s">
        <v>78</v>
      </c>
    </row>
    <row r="7" customFormat="false" ht="22.35" hidden="false" customHeight="false" outlineLevel="0" collapsed="false">
      <c r="A7" s="20" t="n">
        <v>6</v>
      </c>
      <c r="B7" s="21" t="s">
        <v>8</v>
      </c>
      <c r="C7" s="26" t="s">
        <v>79</v>
      </c>
      <c r="D7" s="26" t="s">
        <v>80</v>
      </c>
      <c r="E7" s="26" t="s">
        <v>81</v>
      </c>
      <c r="F7" s="26" t="s">
        <v>82</v>
      </c>
      <c r="G7" s="26" t="s">
        <v>83</v>
      </c>
      <c r="H7" s="26" t="s">
        <v>84</v>
      </c>
      <c r="I7" s="23" t="n">
        <v>3</v>
      </c>
      <c r="J7" s="23" t="n">
        <v>2</v>
      </c>
      <c r="K7" s="24" t="n">
        <f aca="false">ROUND(I7/J7,2)</f>
        <v>1.5</v>
      </c>
      <c r="L7" s="25" t="s">
        <v>43</v>
      </c>
      <c r="M7" s="26" t="s">
        <v>85</v>
      </c>
      <c r="N7" s="26" t="s">
        <v>86</v>
      </c>
    </row>
    <row r="8" customFormat="false" ht="22.35" hidden="false" customHeight="false" outlineLevel="0" collapsed="false">
      <c r="A8" s="20" t="n">
        <v>7</v>
      </c>
      <c r="B8" s="21" t="s">
        <v>8</v>
      </c>
      <c r="C8" s="22" t="s">
        <v>87</v>
      </c>
      <c r="D8" s="22" t="s">
        <v>88</v>
      </c>
      <c r="E8" s="22" t="s">
        <v>89</v>
      </c>
      <c r="F8" s="22" t="s">
        <v>90</v>
      </c>
      <c r="G8" s="22" t="s">
        <v>91</v>
      </c>
      <c r="H8" s="22" t="s">
        <v>92</v>
      </c>
      <c r="I8" s="23" t="n">
        <v>3</v>
      </c>
      <c r="J8" s="23" t="n">
        <v>2</v>
      </c>
      <c r="K8" s="24" t="n">
        <f aca="false">ROUND(I8/J8,2)</f>
        <v>1.5</v>
      </c>
      <c r="L8" s="27" t="s">
        <v>68</v>
      </c>
      <c r="M8" s="22" t="s">
        <v>93</v>
      </c>
      <c r="N8" s="22" t="s">
        <v>94</v>
      </c>
    </row>
    <row r="9" customFormat="false" ht="22.35" hidden="false" customHeight="false" outlineLevel="0" collapsed="false">
      <c r="A9" s="20" t="n">
        <v>8</v>
      </c>
      <c r="B9" s="28" t="s">
        <v>10</v>
      </c>
      <c r="C9" s="26" t="s">
        <v>95</v>
      </c>
      <c r="D9" s="26" t="s">
        <v>96</v>
      </c>
      <c r="E9" s="26" t="s">
        <v>97</v>
      </c>
      <c r="F9" s="26" t="s">
        <v>98</v>
      </c>
      <c r="G9" s="26" t="s">
        <v>99</v>
      </c>
      <c r="H9" s="26" t="s">
        <v>100</v>
      </c>
      <c r="I9" s="23" t="n">
        <v>5</v>
      </c>
      <c r="J9" s="23" t="n">
        <v>2</v>
      </c>
      <c r="K9" s="24" t="n">
        <f aca="false">ROUND(I9/J9,2)</f>
        <v>2.5</v>
      </c>
      <c r="L9" s="27" t="s">
        <v>68</v>
      </c>
      <c r="M9" s="26" t="s">
        <v>101</v>
      </c>
      <c r="N9" s="26" t="s">
        <v>102</v>
      </c>
    </row>
    <row r="10" customFormat="false" ht="22.35" hidden="false" customHeight="false" outlineLevel="0" collapsed="false">
      <c r="A10" s="20" t="n">
        <v>9</v>
      </c>
      <c r="B10" s="28" t="s">
        <v>10</v>
      </c>
      <c r="C10" s="22" t="s">
        <v>103</v>
      </c>
      <c r="D10" s="22" t="s">
        <v>104</v>
      </c>
      <c r="E10" s="22" t="s">
        <v>105</v>
      </c>
      <c r="F10" s="22" t="s">
        <v>106</v>
      </c>
      <c r="G10" s="22" t="s">
        <v>107</v>
      </c>
      <c r="H10" s="22" t="s">
        <v>108</v>
      </c>
      <c r="I10" s="23" t="n">
        <v>4</v>
      </c>
      <c r="J10" s="23" t="n">
        <v>1</v>
      </c>
      <c r="K10" s="24" t="n">
        <f aca="false">ROUND(I10/J10,2)</f>
        <v>4</v>
      </c>
      <c r="L10" s="29" t="s">
        <v>109</v>
      </c>
      <c r="M10" s="22" t="s">
        <v>110</v>
      </c>
      <c r="N10" s="22" t="s">
        <v>111</v>
      </c>
    </row>
    <row r="11" customFormat="false" ht="22.35" hidden="false" customHeight="false" outlineLevel="0" collapsed="false">
      <c r="A11" s="20" t="n">
        <v>10</v>
      </c>
      <c r="B11" s="28" t="s">
        <v>10</v>
      </c>
      <c r="C11" s="26" t="s">
        <v>112</v>
      </c>
      <c r="D11" s="26" t="s">
        <v>113</v>
      </c>
      <c r="E11" s="26" t="s">
        <v>114</v>
      </c>
      <c r="F11" s="26" t="s">
        <v>115</v>
      </c>
      <c r="G11" s="26" t="s">
        <v>116</v>
      </c>
      <c r="H11" s="26" t="s">
        <v>117</v>
      </c>
      <c r="I11" s="23" t="n">
        <v>4</v>
      </c>
      <c r="J11" s="23" t="n">
        <v>2</v>
      </c>
      <c r="K11" s="24" t="n">
        <f aca="false">ROUND(I11/J11,2)</f>
        <v>2</v>
      </c>
      <c r="L11" s="27" t="s">
        <v>68</v>
      </c>
      <c r="M11" s="26" t="s">
        <v>118</v>
      </c>
      <c r="N11" s="26" t="s">
        <v>119</v>
      </c>
    </row>
    <row r="12" customFormat="false" ht="22.35" hidden="false" customHeight="false" outlineLevel="0" collapsed="false">
      <c r="A12" s="20" t="n">
        <v>11</v>
      </c>
      <c r="B12" s="28" t="s">
        <v>10</v>
      </c>
      <c r="C12" s="22" t="s">
        <v>120</v>
      </c>
      <c r="D12" s="22" t="s">
        <v>121</v>
      </c>
      <c r="E12" s="22" t="s">
        <v>122</v>
      </c>
      <c r="F12" s="22" t="s">
        <v>123</v>
      </c>
      <c r="G12" s="22" t="s">
        <v>124</v>
      </c>
      <c r="H12" s="22" t="s">
        <v>125</v>
      </c>
      <c r="I12" s="23" t="n">
        <v>4</v>
      </c>
      <c r="J12" s="23" t="n">
        <v>3</v>
      </c>
      <c r="K12" s="24" t="n">
        <f aca="false">ROUND(I12/J12,2)</f>
        <v>1.33</v>
      </c>
      <c r="L12" s="27" t="s">
        <v>68</v>
      </c>
      <c r="M12" s="22" t="s">
        <v>126</v>
      </c>
      <c r="N12" s="22" t="s">
        <v>127</v>
      </c>
    </row>
    <row r="13" customFormat="false" ht="22.35" hidden="false" customHeight="false" outlineLevel="0" collapsed="false">
      <c r="A13" s="20" t="n">
        <v>12</v>
      </c>
      <c r="B13" s="28" t="s">
        <v>10</v>
      </c>
      <c r="C13" s="26" t="s">
        <v>128</v>
      </c>
      <c r="D13" s="26" t="s">
        <v>129</v>
      </c>
      <c r="E13" s="26" t="s">
        <v>130</v>
      </c>
      <c r="F13" s="26" t="s">
        <v>131</v>
      </c>
      <c r="G13" s="26" t="s">
        <v>132</v>
      </c>
      <c r="H13" s="26" t="s">
        <v>133</v>
      </c>
      <c r="I13" s="23" t="n">
        <v>3</v>
      </c>
      <c r="J13" s="23" t="n">
        <v>2</v>
      </c>
      <c r="K13" s="24" t="n">
        <f aca="false">ROUND(I13/J13,2)</f>
        <v>1.5</v>
      </c>
      <c r="L13" s="27" t="s">
        <v>68</v>
      </c>
      <c r="M13" s="26" t="s">
        <v>134</v>
      </c>
      <c r="N13" s="26" t="s">
        <v>135</v>
      </c>
    </row>
    <row r="14" customFormat="false" ht="22.35" hidden="false" customHeight="false" outlineLevel="0" collapsed="false">
      <c r="A14" s="20" t="n">
        <v>13</v>
      </c>
      <c r="B14" s="30" t="s">
        <v>12</v>
      </c>
      <c r="C14" s="22" t="s">
        <v>136</v>
      </c>
      <c r="D14" s="22" t="s">
        <v>137</v>
      </c>
      <c r="E14" s="22" t="s">
        <v>138</v>
      </c>
      <c r="F14" s="22" t="s">
        <v>139</v>
      </c>
      <c r="G14" s="22" t="s">
        <v>140</v>
      </c>
      <c r="H14" s="22" t="s">
        <v>141</v>
      </c>
      <c r="I14" s="23" t="n">
        <v>5</v>
      </c>
      <c r="J14" s="23" t="n">
        <v>3</v>
      </c>
      <c r="K14" s="24" t="n">
        <f aca="false">ROUND(I14/J14,2)</f>
        <v>1.67</v>
      </c>
      <c r="L14" s="27" t="s">
        <v>68</v>
      </c>
      <c r="M14" s="22" t="s">
        <v>142</v>
      </c>
      <c r="N14" s="22" t="s">
        <v>143</v>
      </c>
    </row>
    <row r="15" customFormat="false" ht="15" hidden="false" customHeight="false" outlineLevel="0" collapsed="false">
      <c r="A15" s="20" t="n">
        <v>14</v>
      </c>
      <c r="B15" s="30" t="s">
        <v>12</v>
      </c>
      <c r="C15" s="26" t="s">
        <v>144</v>
      </c>
      <c r="D15" s="26" t="s">
        <v>145</v>
      </c>
      <c r="E15" s="26" t="s">
        <v>146</v>
      </c>
      <c r="F15" s="26" t="s">
        <v>147</v>
      </c>
      <c r="G15" s="26" t="s">
        <v>148</v>
      </c>
      <c r="H15" s="26" t="s">
        <v>149</v>
      </c>
      <c r="I15" s="23" t="n">
        <v>4</v>
      </c>
      <c r="J15" s="23" t="n">
        <v>1</v>
      </c>
      <c r="K15" s="24" t="n">
        <f aca="false">ROUND(I15/J15,2)</f>
        <v>4</v>
      </c>
      <c r="L15" s="29" t="s">
        <v>109</v>
      </c>
      <c r="M15" s="26" t="s">
        <v>150</v>
      </c>
      <c r="N15" s="26" t="s">
        <v>151</v>
      </c>
    </row>
    <row r="16" customFormat="false" ht="22.35" hidden="false" customHeight="false" outlineLevel="0" collapsed="false">
      <c r="A16" s="20" t="n">
        <v>15</v>
      </c>
      <c r="B16" s="30" t="s">
        <v>12</v>
      </c>
      <c r="C16" s="22" t="s">
        <v>152</v>
      </c>
      <c r="D16" s="22" t="s">
        <v>153</v>
      </c>
      <c r="E16" s="22" t="s">
        <v>154</v>
      </c>
      <c r="F16" s="22" t="s">
        <v>147</v>
      </c>
      <c r="G16" s="22" t="s">
        <v>148</v>
      </c>
      <c r="H16" s="22" t="s">
        <v>155</v>
      </c>
      <c r="I16" s="23" t="n">
        <v>4</v>
      </c>
      <c r="J16" s="23" t="n">
        <v>1</v>
      </c>
      <c r="K16" s="24" t="n">
        <f aca="false">ROUND(I16/J16,2)</f>
        <v>4</v>
      </c>
      <c r="L16" s="29" t="s">
        <v>109</v>
      </c>
      <c r="M16" s="22" t="s">
        <v>156</v>
      </c>
      <c r="N16" s="22" t="s">
        <v>157</v>
      </c>
    </row>
    <row r="17" customFormat="false" ht="15" hidden="false" customHeight="false" outlineLevel="0" collapsed="false">
      <c r="A17" s="20" t="n">
        <v>16</v>
      </c>
      <c r="B17" s="30" t="s">
        <v>12</v>
      </c>
      <c r="C17" s="26" t="s">
        <v>158</v>
      </c>
      <c r="D17" s="26" t="s">
        <v>159</v>
      </c>
      <c r="E17" s="26" t="s">
        <v>160</v>
      </c>
      <c r="F17" s="26" t="s">
        <v>161</v>
      </c>
      <c r="G17" s="26" t="s">
        <v>162</v>
      </c>
      <c r="H17" s="26" t="s">
        <v>163</v>
      </c>
      <c r="I17" s="23" t="n">
        <v>4</v>
      </c>
      <c r="J17" s="23" t="n">
        <v>2</v>
      </c>
      <c r="K17" s="24" t="n">
        <f aca="false">ROUND(I17/J17,2)</f>
        <v>2</v>
      </c>
      <c r="L17" s="27" t="s">
        <v>68</v>
      </c>
      <c r="M17" s="26" t="s">
        <v>69</v>
      </c>
      <c r="N17" s="26" t="s">
        <v>164</v>
      </c>
    </row>
    <row r="18" customFormat="false" ht="22.35" hidden="false" customHeight="false" outlineLevel="0" collapsed="false">
      <c r="A18" s="20" t="n">
        <v>17</v>
      </c>
      <c r="B18" s="31" t="s">
        <v>14</v>
      </c>
      <c r="C18" s="22" t="s">
        <v>165</v>
      </c>
      <c r="D18" s="22" t="s">
        <v>166</v>
      </c>
      <c r="E18" s="22" t="s">
        <v>167</v>
      </c>
      <c r="F18" s="22" t="s">
        <v>168</v>
      </c>
      <c r="G18" s="22" t="s">
        <v>169</v>
      </c>
      <c r="H18" s="22" t="s">
        <v>170</v>
      </c>
      <c r="I18" s="23" t="n">
        <v>4</v>
      </c>
      <c r="J18" s="23" t="n">
        <v>2</v>
      </c>
      <c r="K18" s="24" t="n">
        <f aca="false">ROUND(I18/J18,2)</f>
        <v>2</v>
      </c>
      <c r="L18" s="29" t="s">
        <v>109</v>
      </c>
      <c r="M18" s="22" t="s">
        <v>171</v>
      </c>
      <c r="N18" s="22" t="s">
        <v>111</v>
      </c>
    </row>
    <row r="19" customFormat="false" ht="15" hidden="false" customHeight="false" outlineLevel="0" collapsed="false">
      <c r="A19" s="20" t="n">
        <v>18</v>
      </c>
      <c r="B19" s="31" t="s">
        <v>14</v>
      </c>
      <c r="C19" s="26" t="s">
        <v>172</v>
      </c>
      <c r="D19" s="26" t="s">
        <v>173</v>
      </c>
      <c r="E19" s="26" t="s">
        <v>174</v>
      </c>
      <c r="F19" s="26" t="s">
        <v>175</v>
      </c>
      <c r="G19" s="26" t="s">
        <v>176</v>
      </c>
      <c r="H19" s="26" t="s">
        <v>177</v>
      </c>
      <c r="I19" s="23" t="n">
        <v>5</v>
      </c>
      <c r="J19" s="23" t="n">
        <v>2</v>
      </c>
      <c r="K19" s="24" t="n">
        <f aca="false">ROUND(I19/J19,2)</f>
        <v>2.5</v>
      </c>
      <c r="L19" s="27" t="s">
        <v>68</v>
      </c>
      <c r="M19" s="26" t="s">
        <v>178</v>
      </c>
      <c r="N19" s="26" t="s">
        <v>151</v>
      </c>
    </row>
    <row r="20" customFormat="false" ht="15" hidden="false" customHeight="false" outlineLevel="0" collapsed="false">
      <c r="A20" s="20" t="n">
        <v>19</v>
      </c>
      <c r="B20" s="31" t="s">
        <v>14</v>
      </c>
      <c r="C20" s="22" t="s">
        <v>179</v>
      </c>
      <c r="D20" s="22" t="s">
        <v>180</v>
      </c>
      <c r="E20" s="22" t="s">
        <v>181</v>
      </c>
      <c r="F20" s="22" t="s">
        <v>182</v>
      </c>
      <c r="G20" s="22" t="s">
        <v>183</v>
      </c>
      <c r="H20" s="22" t="s">
        <v>184</v>
      </c>
      <c r="I20" s="23" t="n">
        <v>4</v>
      </c>
      <c r="J20" s="23" t="n">
        <v>2</v>
      </c>
      <c r="K20" s="24" t="n">
        <f aca="false">ROUND(I20/J20,2)</f>
        <v>2</v>
      </c>
      <c r="L20" s="25" t="s">
        <v>43</v>
      </c>
      <c r="M20" s="22" t="s">
        <v>185</v>
      </c>
      <c r="N20" s="22" t="s">
        <v>78</v>
      </c>
    </row>
    <row r="21" customFormat="false" ht="15" hidden="false" customHeight="false" outlineLevel="0" collapsed="false">
      <c r="A21" s="20" t="n">
        <v>20</v>
      </c>
      <c r="B21" s="31" t="s">
        <v>14</v>
      </c>
      <c r="C21" s="26" t="s">
        <v>186</v>
      </c>
      <c r="D21" s="26" t="s">
        <v>187</v>
      </c>
      <c r="E21" s="26" t="s">
        <v>188</v>
      </c>
      <c r="F21" s="26" t="s">
        <v>189</v>
      </c>
      <c r="G21" s="26" t="s">
        <v>190</v>
      </c>
      <c r="H21" s="26" t="s">
        <v>191</v>
      </c>
      <c r="I21" s="23" t="n">
        <v>5</v>
      </c>
      <c r="J21" s="23" t="n">
        <v>2</v>
      </c>
      <c r="K21" s="24" t="n">
        <f aca="false">ROUND(I21/J21,2)</f>
        <v>2.5</v>
      </c>
      <c r="L21" s="27" t="s">
        <v>68</v>
      </c>
      <c r="M21" s="26" t="s">
        <v>192</v>
      </c>
      <c r="N21" s="26" t="s">
        <v>193</v>
      </c>
    </row>
    <row r="22" customFormat="false" ht="22.35" hidden="false" customHeight="false" outlineLevel="0" collapsed="false">
      <c r="A22" s="20" t="n">
        <v>21</v>
      </c>
      <c r="B22" s="31" t="s">
        <v>14</v>
      </c>
      <c r="C22" s="22" t="s">
        <v>194</v>
      </c>
      <c r="D22" s="22" t="s">
        <v>195</v>
      </c>
      <c r="E22" s="22" t="s">
        <v>196</v>
      </c>
      <c r="F22" s="22" t="s">
        <v>197</v>
      </c>
      <c r="G22" s="22" t="s">
        <v>198</v>
      </c>
      <c r="H22" s="22" t="s">
        <v>199</v>
      </c>
      <c r="I22" s="23" t="n">
        <v>3</v>
      </c>
      <c r="J22" s="23" t="n">
        <v>1</v>
      </c>
      <c r="K22" s="24" t="n">
        <f aca="false">ROUND(I22/J22,2)</f>
        <v>3</v>
      </c>
      <c r="L22" s="29" t="s">
        <v>109</v>
      </c>
      <c r="M22" s="22" t="s">
        <v>200</v>
      </c>
      <c r="N22" s="22" t="s">
        <v>201</v>
      </c>
    </row>
    <row r="23" customFormat="false" ht="22.35" hidden="false" customHeight="false" outlineLevel="0" collapsed="false">
      <c r="A23" s="20" t="n">
        <v>22</v>
      </c>
      <c r="B23" s="32" t="s">
        <v>16</v>
      </c>
      <c r="C23" s="26" t="s">
        <v>202</v>
      </c>
      <c r="D23" s="26" t="s">
        <v>203</v>
      </c>
      <c r="E23" s="26" t="s">
        <v>204</v>
      </c>
      <c r="F23" s="26" t="s">
        <v>205</v>
      </c>
      <c r="G23" s="26" t="s">
        <v>206</v>
      </c>
      <c r="H23" s="26" t="s">
        <v>207</v>
      </c>
      <c r="I23" s="23" t="n">
        <v>5</v>
      </c>
      <c r="J23" s="23" t="n">
        <v>2</v>
      </c>
      <c r="K23" s="24" t="n">
        <f aca="false">ROUND(I23/J23,2)</f>
        <v>2.5</v>
      </c>
      <c r="L23" s="25" t="s">
        <v>43</v>
      </c>
      <c r="M23" s="26" t="s">
        <v>208</v>
      </c>
      <c r="N23" s="26" t="s">
        <v>209</v>
      </c>
    </row>
    <row r="24" customFormat="false" ht="15" hidden="false" customHeight="false" outlineLevel="0" collapsed="false">
      <c r="A24" s="20" t="n">
        <v>23</v>
      </c>
      <c r="B24" s="32" t="s">
        <v>16</v>
      </c>
      <c r="C24" s="22" t="s">
        <v>210</v>
      </c>
      <c r="D24" s="22" t="s">
        <v>211</v>
      </c>
      <c r="E24" s="22" t="s">
        <v>212</v>
      </c>
      <c r="F24" s="22" t="s">
        <v>213</v>
      </c>
      <c r="G24" s="22" t="s">
        <v>214</v>
      </c>
      <c r="H24" s="22" t="s">
        <v>215</v>
      </c>
      <c r="I24" s="23" t="n">
        <v>5</v>
      </c>
      <c r="J24" s="23" t="n">
        <v>1</v>
      </c>
      <c r="K24" s="24" t="n">
        <f aca="false">ROUND(I24/J24,2)</f>
        <v>5</v>
      </c>
      <c r="L24" s="25" t="s">
        <v>43</v>
      </c>
      <c r="M24" s="22" t="s">
        <v>200</v>
      </c>
      <c r="N24" s="22" t="s">
        <v>78</v>
      </c>
    </row>
    <row r="25" customFormat="false" ht="22.35" hidden="false" customHeight="false" outlineLevel="0" collapsed="false">
      <c r="A25" s="20" t="n">
        <v>24</v>
      </c>
      <c r="B25" s="32" t="s">
        <v>16</v>
      </c>
      <c r="C25" s="26" t="s">
        <v>216</v>
      </c>
      <c r="D25" s="26" t="s">
        <v>217</v>
      </c>
      <c r="E25" s="26" t="s">
        <v>218</v>
      </c>
      <c r="F25" s="26" t="s">
        <v>219</v>
      </c>
      <c r="G25" s="26" t="s">
        <v>220</v>
      </c>
      <c r="H25" s="26" t="s">
        <v>221</v>
      </c>
      <c r="I25" s="23" t="n">
        <v>3</v>
      </c>
      <c r="J25" s="23" t="n">
        <v>2</v>
      </c>
      <c r="K25" s="24" t="n">
        <f aca="false">ROUND(I25/J25,2)</f>
        <v>1.5</v>
      </c>
      <c r="L25" s="25" t="s">
        <v>43</v>
      </c>
      <c r="M25" s="26" t="s">
        <v>222</v>
      </c>
      <c r="N25" s="26" t="s">
        <v>223</v>
      </c>
    </row>
    <row r="26" customFormat="false" ht="15" hidden="false" customHeight="false" outlineLevel="0" collapsed="false">
      <c r="A26" s="20" t="n">
        <v>25</v>
      </c>
      <c r="B26" s="32" t="s">
        <v>16</v>
      </c>
      <c r="C26" s="22" t="s">
        <v>224</v>
      </c>
      <c r="D26" s="22" t="s">
        <v>225</v>
      </c>
      <c r="E26" s="22" t="s">
        <v>226</v>
      </c>
      <c r="F26" s="22" t="s">
        <v>227</v>
      </c>
      <c r="G26" s="22" t="s">
        <v>228</v>
      </c>
      <c r="H26" s="22" t="s">
        <v>229</v>
      </c>
      <c r="I26" s="23" t="n">
        <v>4</v>
      </c>
      <c r="J26" s="23" t="n">
        <v>2</v>
      </c>
      <c r="K26" s="24" t="n">
        <f aca="false">ROUND(I26/J26,2)</f>
        <v>2</v>
      </c>
      <c r="L26" s="25" t="s">
        <v>43</v>
      </c>
      <c r="M26" s="22" t="s">
        <v>200</v>
      </c>
      <c r="N26" s="22" t="s">
        <v>230</v>
      </c>
    </row>
    <row r="27" customFormat="false" ht="22.35" hidden="false" customHeight="false" outlineLevel="0" collapsed="false">
      <c r="A27" s="20" t="n">
        <v>26</v>
      </c>
      <c r="B27" s="32" t="s">
        <v>16</v>
      </c>
      <c r="C27" s="26" t="s">
        <v>231</v>
      </c>
      <c r="D27" s="26" t="s">
        <v>232</v>
      </c>
      <c r="E27" s="26" t="s">
        <v>233</v>
      </c>
      <c r="F27" s="26" t="s">
        <v>175</v>
      </c>
      <c r="G27" s="26" t="s">
        <v>234</v>
      </c>
      <c r="H27" s="26" t="s">
        <v>235</v>
      </c>
      <c r="I27" s="23" t="n">
        <v>4</v>
      </c>
      <c r="J27" s="23" t="n">
        <v>2</v>
      </c>
      <c r="K27" s="24" t="n">
        <f aca="false">ROUND(I27/J27,2)</f>
        <v>2</v>
      </c>
      <c r="L27" s="27" t="s">
        <v>68</v>
      </c>
      <c r="M27" s="26" t="s">
        <v>52</v>
      </c>
      <c r="N27" s="26" t="s">
        <v>78</v>
      </c>
    </row>
    <row r="28" customFormat="false" ht="22.35" hidden="false" customHeight="false" outlineLevel="0" collapsed="false">
      <c r="A28" s="20" t="n">
        <v>27</v>
      </c>
      <c r="B28" s="32" t="s">
        <v>16</v>
      </c>
      <c r="C28" s="22" t="s">
        <v>236</v>
      </c>
      <c r="D28" s="22" t="s">
        <v>237</v>
      </c>
      <c r="E28" s="22" t="s">
        <v>238</v>
      </c>
      <c r="F28" s="22" t="s">
        <v>239</v>
      </c>
      <c r="G28" s="22" t="s">
        <v>240</v>
      </c>
      <c r="H28" s="22" t="s">
        <v>241</v>
      </c>
      <c r="I28" s="23" t="n">
        <v>3</v>
      </c>
      <c r="J28" s="23" t="n">
        <v>2</v>
      </c>
      <c r="K28" s="24" t="n">
        <f aca="false">ROUND(I28/J28,2)</f>
        <v>1.5</v>
      </c>
      <c r="L28" s="27" t="s">
        <v>68</v>
      </c>
      <c r="M28" s="22" t="s">
        <v>242</v>
      </c>
      <c r="N28" s="22" t="s">
        <v>243</v>
      </c>
    </row>
    <row r="29" customFormat="false" ht="22.35" hidden="false" customHeight="false" outlineLevel="0" collapsed="false">
      <c r="A29" s="20" t="n">
        <v>28</v>
      </c>
      <c r="B29" s="33" t="s">
        <v>18</v>
      </c>
      <c r="C29" s="26" t="s">
        <v>244</v>
      </c>
      <c r="D29" s="26" t="s">
        <v>245</v>
      </c>
      <c r="E29" s="26" t="s">
        <v>246</v>
      </c>
      <c r="F29" s="26" t="s">
        <v>247</v>
      </c>
      <c r="G29" s="26" t="s">
        <v>248</v>
      </c>
      <c r="H29" s="26" t="s">
        <v>249</v>
      </c>
      <c r="I29" s="23" t="n">
        <v>5</v>
      </c>
      <c r="J29" s="23" t="n">
        <v>1</v>
      </c>
      <c r="K29" s="24" t="n">
        <f aca="false">ROUND(I29/J29,2)</f>
        <v>5</v>
      </c>
      <c r="L29" s="25" t="s">
        <v>43</v>
      </c>
      <c r="M29" s="26" t="s">
        <v>250</v>
      </c>
      <c r="N29" s="26" t="s">
        <v>251</v>
      </c>
    </row>
    <row r="30" customFormat="false" ht="22.35" hidden="false" customHeight="false" outlineLevel="0" collapsed="false">
      <c r="A30" s="20" t="n">
        <v>29</v>
      </c>
      <c r="B30" s="33" t="s">
        <v>18</v>
      </c>
      <c r="C30" s="22" t="s">
        <v>252</v>
      </c>
      <c r="D30" s="22" t="s">
        <v>253</v>
      </c>
      <c r="E30" s="22" t="s">
        <v>254</v>
      </c>
      <c r="F30" s="22" t="s">
        <v>255</v>
      </c>
      <c r="G30" s="22" t="s">
        <v>256</v>
      </c>
      <c r="H30" s="22" t="s">
        <v>257</v>
      </c>
      <c r="I30" s="23" t="n">
        <v>5</v>
      </c>
      <c r="J30" s="23" t="n">
        <v>2</v>
      </c>
      <c r="K30" s="24" t="n">
        <f aca="false">ROUND(I30/J30,2)</f>
        <v>2.5</v>
      </c>
      <c r="L30" s="27" t="s">
        <v>68</v>
      </c>
      <c r="M30" s="22" t="s">
        <v>258</v>
      </c>
      <c r="N30" s="22" t="s">
        <v>259</v>
      </c>
    </row>
    <row r="31" customFormat="false" ht="22.35" hidden="false" customHeight="false" outlineLevel="0" collapsed="false">
      <c r="A31" s="20" t="n">
        <v>30</v>
      </c>
      <c r="B31" s="33" t="s">
        <v>18</v>
      </c>
      <c r="C31" s="26" t="s">
        <v>260</v>
      </c>
      <c r="D31" s="26" t="s">
        <v>261</v>
      </c>
      <c r="E31" s="26" t="s">
        <v>262</v>
      </c>
      <c r="F31" s="26" t="s">
        <v>263</v>
      </c>
      <c r="G31" s="26" t="s">
        <v>264</v>
      </c>
      <c r="H31" s="26" t="s">
        <v>265</v>
      </c>
      <c r="I31" s="23" t="n">
        <v>4</v>
      </c>
      <c r="J31" s="23" t="n">
        <v>2</v>
      </c>
      <c r="K31" s="24" t="n">
        <f aca="false">ROUND(I31/J31,2)</f>
        <v>2</v>
      </c>
      <c r="L31" s="27" t="s">
        <v>68</v>
      </c>
      <c r="M31" s="26" t="s">
        <v>266</v>
      </c>
      <c r="N31" s="26" t="s">
        <v>267</v>
      </c>
    </row>
    <row r="32" customFormat="false" ht="22.35" hidden="false" customHeight="false" outlineLevel="0" collapsed="false">
      <c r="A32" s="20" t="n">
        <v>31</v>
      </c>
      <c r="B32" s="33" t="s">
        <v>18</v>
      </c>
      <c r="C32" s="22" t="s">
        <v>268</v>
      </c>
      <c r="D32" s="22" t="s">
        <v>269</v>
      </c>
      <c r="E32" s="22" t="s">
        <v>270</v>
      </c>
      <c r="F32" s="22" t="s">
        <v>189</v>
      </c>
      <c r="G32" s="22" t="s">
        <v>271</v>
      </c>
      <c r="H32" s="22" t="s">
        <v>272</v>
      </c>
      <c r="I32" s="23" t="n">
        <v>5</v>
      </c>
      <c r="J32" s="23" t="n">
        <v>2</v>
      </c>
      <c r="K32" s="24" t="n">
        <f aca="false">ROUND(I32/J32,2)</f>
        <v>2.5</v>
      </c>
      <c r="L32" s="27" t="s">
        <v>68</v>
      </c>
      <c r="M32" s="22" t="s">
        <v>273</v>
      </c>
      <c r="N32" s="22" t="s">
        <v>151</v>
      </c>
    </row>
    <row r="33" customFormat="false" ht="22.35" hidden="false" customHeight="false" outlineLevel="0" collapsed="false">
      <c r="A33" s="20" t="n">
        <v>32</v>
      </c>
      <c r="B33" s="33" t="s">
        <v>18</v>
      </c>
      <c r="C33" s="26" t="s">
        <v>274</v>
      </c>
      <c r="D33" s="26" t="s">
        <v>275</v>
      </c>
      <c r="E33" s="26" t="s">
        <v>276</v>
      </c>
      <c r="F33" s="26" t="s">
        <v>277</v>
      </c>
      <c r="G33" s="26" t="s">
        <v>278</v>
      </c>
      <c r="H33" s="26" t="s">
        <v>279</v>
      </c>
      <c r="I33" s="23" t="n">
        <v>3</v>
      </c>
      <c r="J33" s="23" t="n">
        <v>1</v>
      </c>
      <c r="K33" s="24" t="n">
        <f aca="false">ROUND(I33/J33,2)</f>
        <v>3</v>
      </c>
      <c r="L33" s="25" t="s">
        <v>43</v>
      </c>
      <c r="M33" s="26" t="s">
        <v>280</v>
      </c>
      <c r="N33" s="26" t="s">
        <v>281</v>
      </c>
    </row>
    <row r="34" customFormat="false" ht="22.35" hidden="false" customHeight="false" outlineLevel="0" collapsed="false">
      <c r="A34" s="20" t="n">
        <v>33</v>
      </c>
      <c r="B34" s="33" t="s">
        <v>18</v>
      </c>
      <c r="C34" s="22" t="s">
        <v>282</v>
      </c>
      <c r="D34" s="22" t="s">
        <v>283</v>
      </c>
      <c r="E34" s="22" t="s">
        <v>284</v>
      </c>
      <c r="F34" s="22" t="s">
        <v>213</v>
      </c>
      <c r="G34" s="22" t="s">
        <v>285</v>
      </c>
      <c r="H34" s="22" t="s">
        <v>286</v>
      </c>
      <c r="I34" s="23" t="n">
        <v>4</v>
      </c>
      <c r="J34" s="23" t="n">
        <v>2</v>
      </c>
      <c r="K34" s="24" t="n">
        <f aca="false">ROUND(I34/J34,2)</f>
        <v>2</v>
      </c>
      <c r="L34" s="25" t="s">
        <v>43</v>
      </c>
      <c r="M34" s="22" t="s">
        <v>287</v>
      </c>
      <c r="N34" s="22" t="s">
        <v>111</v>
      </c>
    </row>
    <row r="35" customFormat="false" ht="15" hidden="false" customHeight="false" outlineLevel="0" collapsed="false">
      <c r="A35" s="20" t="n">
        <v>34</v>
      </c>
      <c r="B35" s="34" t="s">
        <v>20</v>
      </c>
      <c r="C35" s="26" t="s">
        <v>288</v>
      </c>
      <c r="D35" s="26" t="s">
        <v>289</v>
      </c>
      <c r="E35" s="26" t="s">
        <v>290</v>
      </c>
      <c r="F35" s="26" t="s">
        <v>291</v>
      </c>
      <c r="G35" s="26" t="s">
        <v>292</v>
      </c>
      <c r="H35" s="26" t="s">
        <v>293</v>
      </c>
      <c r="I35" s="23" t="n">
        <v>5</v>
      </c>
      <c r="J35" s="23" t="n">
        <v>1</v>
      </c>
      <c r="K35" s="24" t="n">
        <f aca="false">ROUND(I35/J35,2)</f>
        <v>5</v>
      </c>
      <c r="L35" s="27" t="s">
        <v>68</v>
      </c>
      <c r="M35" s="26" t="s">
        <v>294</v>
      </c>
      <c r="N35" s="26" t="s">
        <v>295</v>
      </c>
    </row>
    <row r="36" customFormat="false" ht="22.35" hidden="false" customHeight="false" outlineLevel="0" collapsed="false">
      <c r="A36" s="20" t="n">
        <v>35</v>
      </c>
      <c r="B36" s="34" t="s">
        <v>20</v>
      </c>
      <c r="C36" s="22" t="s">
        <v>296</v>
      </c>
      <c r="D36" s="22" t="s">
        <v>297</v>
      </c>
      <c r="E36" s="22" t="s">
        <v>298</v>
      </c>
      <c r="F36" s="22" t="s">
        <v>299</v>
      </c>
      <c r="G36" s="22" t="s">
        <v>300</v>
      </c>
      <c r="H36" s="22" t="s">
        <v>301</v>
      </c>
      <c r="I36" s="23" t="n">
        <v>4</v>
      </c>
      <c r="J36" s="23" t="n">
        <v>1</v>
      </c>
      <c r="K36" s="24" t="n">
        <f aca="false">ROUND(I36/J36,2)</f>
        <v>4</v>
      </c>
      <c r="L36" s="29" t="s">
        <v>109</v>
      </c>
      <c r="M36" s="22" t="s">
        <v>302</v>
      </c>
      <c r="N36" s="22" t="s">
        <v>303</v>
      </c>
    </row>
    <row r="37" customFormat="false" ht="22.35" hidden="false" customHeight="false" outlineLevel="0" collapsed="false">
      <c r="A37" s="20" t="n">
        <v>36</v>
      </c>
      <c r="B37" s="34" t="s">
        <v>20</v>
      </c>
      <c r="C37" s="26" t="s">
        <v>304</v>
      </c>
      <c r="D37" s="26" t="s">
        <v>305</v>
      </c>
      <c r="E37" s="26" t="s">
        <v>306</v>
      </c>
      <c r="F37" s="26" t="s">
        <v>307</v>
      </c>
      <c r="G37" s="26" t="s">
        <v>308</v>
      </c>
      <c r="H37" s="26" t="s">
        <v>309</v>
      </c>
      <c r="I37" s="23" t="n">
        <v>4</v>
      </c>
      <c r="J37" s="23" t="n">
        <v>2</v>
      </c>
      <c r="K37" s="24" t="n">
        <f aca="false">ROUND(I37/J37,2)</f>
        <v>2</v>
      </c>
      <c r="L37" s="27" t="s">
        <v>68</v>
      </c>
      <c r="M37" s="26" t="s">
        <v>310</v>
      </c>
      <c r="N37" s="26" t="s">
        <v>311</v>
      </c>
    </row>
    <row r="38" customFormat="false" ht="22.35" hidden="false" customHeight="false" outlineLevel="0" collapsed="false">
      <c r="A38" s="20" t="n">
        <v>37</v>
      </c>
      <c r="B38" s="34" t="s">
        <v>20</v>
      </c>
      <c r="C38" s="22" t="s">
        <v>312</v>
      </c>
      <c r="D38" s="22" t="s">
        <v>313</v>
      </c>
      <c r="E38" s="22" t="s">
        <v>314</v>
      </c>
      <c r="F38" s="22" t="s">
        <v>213</v>
      </c>
      <c r="G38" s="22" t="s">
        <v>315</v>
      </c>
      <c r="H38" s="22" t="s">
        <v>316</v>
      </c>
      <c r="I38" s="23" t="n">
        <v>3</v>
      </c>
      <c r="J38" s="23" t="n">
        <v>1</v>
      </c>
      <c r="K38" s="24" t="n">
        <f aca="false">ROUND(I38/J38,2)</f>
        <v>3</v>
      </c>
      <c r="L38" s="25" t="s">
        <v>43</v>
      </c>
      <c r="M38" s="22" t="s">
        <v>142</v>
      </c>
      <c r="N38" s="22" t="s">
        <v>317</v>
      </c>
    </row>
    <row r="39" customFormat="false" ht="22.35" hidden="false" customHeight="false" outlineLevel="0" collapsed="false">
      <c r="A39" s="20" t="n">
        <v>38</v>
      </c>
      <c r="B39" s="34" t="s">
        <v>20</v>
      </c>
      <c r="C39" s="26" t="s">
        <v>318</v>
      </c>
      <c r="D39" s="26" t="s">
        <v>319</v>
      </c>
      <c r="E39" s="26" t="s">
        <v>320</v>
      </c>
      <c r="F39" s="26" t="s">
        <v>321</v>
      </c>
      <c r="G39" s="26" t="s">
        <v>322</v>
      </c>
      <c r="H39" s="26" t="s">
        <v>323</v>
      </c>
      <c r="I39" s="23" t="n">
        <v>3</v>
      </c>
      <c r="J39" s="23" t="n">
        <v>1</v>
      </c>
      <c r="K39" s="24" t="n">
        <f aca="false">ROUND(I39/J39,2)</f>
        <v>3</v>
      </c>
      <c r="L39" s="27" t="s">
        <v>68</v>
      </c>
      <c r="M39" s="26" t="s">
        <v>324</v>
      </c>
      <c r="N39" s="26" t="s">
        <v>325</v>
      </c>
    </row>
    <row r="40" customFormat="false" ht="15" hidden="false" customHeight="false" outlineLevel="0" collapsed="false">
      <c r="A40" s="20" t="n">
        <v>39</v>
      </c>
      <c r="B40" s="34" t="s">
        <v>20</v>
      </c>
      <c r="C40" s="22" t="s">
        <v>326</v>
      </c>
      <c r="D40" s="22" t="s">
        <v>327</v>
      </c>
      <c r="E40" s="22" t="s">
        <v>328</v>
      </c>
      <c r="F40" s="22" t="s">
        <v>329</v>
      </c>
      <c r="G40" s="22" t="s">
        <v>330</v>
      </c>
      <c r="H40" s="22" t="s">
        <v>331</v>
      </c>
      <c r="I40" s="23" t="n">
        <v>3</v>
      </c>
      <c r="J40" s="23" t="n">
        <v>2</v>
      </c>
      <c r="K40" s="24" t="n">
        <f aca="false">ROUND(I40/J40,2)</f>
        <v>1.5</v>
      </c>
      <c r="L40" s="27" t="s">
        <v>68</v>
      </c>
      <c r="M40" s="22" t="s">
        <v>332</v>
      </c>
      <c r="N40" s="22" t="s">
        <v>151</v>
      </c>
    </row>
  </sheetData>
  <autoFilter ref="A1:N40"/>
  <conditionalFormatting sqref="K2:K40">
    <cfRule type="colorScale" priority="2">
      <colorScale>
        <cfvo type="num" val="0.6"/>
        <cfvo type="num" val="1.5"/>
        <cfvo type="num" val="5"/>
        <color rgb="FFF1948A"/>
        <color rgb="FFF9E79F"/>
        <color rgb="FF7DCEA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4" min="12" style="0" width="13"/>
  </cols>
  <sheetData>
    <row r="1" customFormat="false" ht="15" hidden="false" customHeight="false" outlineLevel="0" collapsed="false">
      <c r="L1" s="0" t="s">
        <v>333</v>
      </c>
      <c r="M1" s="0" t="s">
        <v>334</v>
      </c>
      <c r="N1" s="0" t="s">
        <v>335</v>
      </c>
    </row>
    <row r="2" customFormat="false" ht="19.7" hidden="false" customHeight="false" outlineLevel="0" collapsed="false">
      <c r="B2" s="35" t="s">
        <v>336</v>
      </c>
      <c r="L2" s="0" t="n">
        <f aca="false">Katalog!J2</f>
        <v>3</v>
      </c>
      <c r="M2" s="0" t="n">
        <f aca="false">Katalog!I2</f>
        <v>5</v>
      </c>
      <c r="N2" s="0" t="n">
        <f aca="false">Katalog!A2</f>
        <v>1</v>
      </c>
    </row>
    <row r="3" customFormat="false" ht="15" hidden="false" customHeight="false" outlineLevel="0" collapsed="false">
      <c r="B3" s="36" t="s">
        <v>337</v>
      </c>
      <c r="C3" s="36"/>
      <c r="D3" s="36"/>
      <c r="E3" s="36"/>
      <c r="F3" s="36"/>
      <c r="G3" s="36"/>
      <c r="H3" s="36"/>
      <c r="L3" s="0" t="n">
        <f aca="false">Katalog!J3</f>
        <v>2</v>
      </c>
      <c r="M3" s="0" t="n">
        <f aca="false">Katalog!I3</f>
        <v>5</v>
      </c>
      <c r="N3" s="0" t="n">
        <f aca="false">Katalog!A3</f>
        <v>2</v>
      </c>
    </row>
    <row r="4" customFormat="false" ht="15" hidden="false" customHeight="false" outlineLevel="0" collapsed="false">
      <c r="L4" s="0" t="n">
        <f aca="false">Katalog!J4</f>
        <v>2</v>
      </c>
      <c r="M4" s="0" t="n">
        <f aca="false">Katalog!I4</f>
        <v>4</v>
      </c>
      <c r="N4" s="0" t="n">
        <f aca="false">Katalog!A4</f>
        <v>3</v>
      </c>
    </row>
    <row r="5" customFormat="false" ht="15" hidden="false" customHeight="false" outlineLevel="0" collapsed="false">
      <c r="L5" s="0" t="n">
        <f aca="false">Katalog!J5</f>
        <v>2</v>
      </c>
      <c r="M5" s="0" t="n">
        <f aca="false">Katalog!I5</f>
        <v>4</v>
      </c>
      <c r="N5" s="0" t="n">
        <f aca="false">Katalog!A5</f>
        <v>4</v>
      </c>
    </row>
    <row r="6" customFormat="false" ht="15" hidden="false" customHeight="false" outlineLevel="0" collapsed="false">
      <c r="L6" s="0" t="n">
        <f aca="false">Katalog!J6</f>
        <v>2</v>
      </c>
      <c r="M6" s="0" t="n">
        <f aca="false">Katalog!I6</f>
        <v>4</v>
      </c>
      <c r="N6" s="0" t="n">
        <f aca="false">Katalog!A6</f>
        <v>5</v>
      </c>
    </row>
    <row r="7" customFormat="false" ht="15" hidden="false" customHeight="false" outlineLevel="0" collapsed="false">
      <c r="L7" s="0" t="n">
        <f aca="false">Katalog!J7</f>
        <v>2</v>
      </c>
      <c r="M7" s="0" t="n">
        <f aca="false">Katalog!I7</f>
        <v>3</v>
      </c>
      <c r="N7" s="0" t="n">
        <f aca="false">Katalog!A7</f>
        <v>6</v>
      </c>
    </row>
    <row r="8" customFormat="false" ht="15" hidden="false" customHeight="false" outlineLevel="0" collapsed="false">
      <c r="L8" s="0" t="n">
        <f aca="false">Katalog!J8</f>
        <v>2</v>
      </c>
      <c r="M8" s="0" t="n">
        <f aca="false">Katalog!I8</f>
        <v>3</v>
      </c>
      <c r="N8" s="0" t="n">
        <f aca="false">Katalog!A8</f>
        <v>7</v>
      </c>
    </row>
    <row r="9" customFormat="false" ht="15" hidden="false" customHeight="false" outlineLevel="0" collapsed="false">
      <c r="L9" s="0" t="n">
        <f aca="false">Katalog!J9</f>
        <v>2</v>
      </c>
      <c r="M9" s="0" t="n">
        <f aca="false">Katalog!I9</f>
        <v>5</v>
      </c>
      <c r="N9" s="0" t="n">
        <f aca="false">Katalog!A9</f>
        <v>8</v>
      </c>
    </row>
    <row r="10" customFormat="false" ht="15" hidden="false" customHeight="false" outlineLevel="0" collapsed="false">
      <c r="L10" s="0" t="n">
        <f aca="false">Katalog!J10</f>
        <v>1</v>
      </c>
      <c r="M10" s="0" t="n">
        <f aca="false">Katalog!I10</f>
        <v>4</v>
      </c>
      <c r="N10" s="0" t="n">
        <f aca="false">Katalog!A10</f>
        <v>9</v>
      </c>
    </row>
    <row r="11" customFormat="false" ht="15" hidden="false" customHeight="false" outlineLevel="0" collapsed="false">
      <c r="L11" s="0" t="n">
        <f aca="false">Katalog!J11</f>
        <v>2</v>
      </c>
      <c r="M11" s="0" t="n">
        <f aca="false">Katalog!I11</f>
        <v>4</v>
      </c>
      <c r="N11" s="0" t="n">
        <f aca="false">Katalog!A11</f>
        <v>10</v>
      </c>
    </row>
    <row r="12" customFormat="false" ht="15" hidden="false" customHeight="false" outlineLevel="0" collapsed="false">
      <c r="L12" s="0" t="n">
        <f aca="false">Katalog!J12</f>
        <v>3</v>
      </c>
      <c r="M12" s="0" t="n">
        <f aca="false">Katalog!I12</f>
        <v>4</v>
      </c>
      <c r="N12" s="0" t="n">
        <f aca="false">Katalog!A12</f>
        <v>11</v>
      </c>
    </row>
    <row r="13" customFormat="false" ht="15" hidden="false" customHeight="false" outlineLevel="0" collapsed="false">
      <c r="L13" s="0" t="n">
        <f aca="false">Katalog!J13</f>
        <v>2</v>
      </c>
      <c r="M13" s="0" t="n">
        <f aca="false">Katalog!I13</f>
        <v>3</v>
      </c>
      <c r="N13" s="0" t="n">
        <f aca="false">Katalog!A13</f>
        <v>12</v>
      </c>
    </row>
    <row r="14" customFormat="false" ht="15" hidden="false" customHeight="false" outlineLevel="0" collapsed="false">
      <c r="L14" s="0" t="n">
        <f aca="false">Katalog!J14</f>
        <v>3</v>
      </c>
      <c r="M14" s="0" t="n">
        <f aca="false">Katalog!I14</f>
        <v>5</v>
      </c>
      <c r="N14" s="0" t="n">
        <f aca="false">Katalog!A14</f>
        <v>13</v>
      </c>
    </row>
    <row r="15" customFormat="false" ht="15" hidden="false" customHeight="false" outlineLevel="0" collapsed="false">
      <c r="L15" s="0" t="n">
        <f aca="false">Katalog!J15</f>
        <v>1</v>
      </c>
      <c r="M15" s="0" t="n">
        <f aca="false">Katalog!I15</f>
        <v>4</v>
      </c>
      <c r="N15" s="0" t="n">
        <f aca="false">Katalog!A15</f>
        <v>14</v>
      </c>
    </row>
    <row r="16" customFormat="false" ht="15" hidden="false" customHeight="false" outlineLevel="0" collapsed="false">
      <c r="L16" s="0" t="n">
        <f aca="false">Katalog!J16</f>
        <v>1</v>
      </c>
      <c r="M16" s="0" t="n">
        <f aca="false">Katalog!I16</f>
        <v>4</v>
      </c>
      <c r="N16" s="0" t="n">
        <f aca="false">Katalog!A16</f>
        <v>15</v>
      </c>
    </row>
    <row r="17" customFormat="false" ht="15" hidden="false" customHeight="false" outlineLevel="0" collapsed="false">
      <c r="L17" s="0" t="n">
        <f aca="false">Katalog!J17</f>
        <v>2</v>
      </c>
      <c r="M17" s="0" t="n">
        <f aca="false">Katalog!I17</f>
        <v>4</v>
      </c>
      <c r="N17" s="0" t="n">
        <f aca="false">Katalog!A17</f>
        <v>16</v>
      </c>
    </row>
    <row r="18" customFormat="false" ht="15" hidden="false" customHeight="false" outlineLevel="0" collapsed="false">
      <c r="L18" s="0" t="n">
        <f aca="false">Katalog!J18</f>
        <v>2</v>
      </c>
      <c r="M18" s="0" t="n">
        <f aca="false">Katalog!I18</f>
        <v>4</v>
      </c>
      <c r="N18" s="0" t="n">
        <f aca="false">Katalog!A18</f>
        <v>17</v>
      </c>
    </row>
    <row r="19" customFormat="false" ht="15" hidden="false" customHeight="false" outlineLevel="0" collapsed="false">
      <c r="L19" s="0" t="n">
        <f aca="false">Katalog!J19</f>
        <v>2</v>
      </c>
      <c r="M19" s="0" t="n">
        <f aca="false">Katalog!I19</f>
        <v>5</v>
      </c>
      <c r="N19" s="0" t="n">
        <f aca="false">Katalog!A19</f>
        <v>18</v>
      </c>
    </row>
    <row r="20" customFormat="false" ht="15" hidden="false" customHeight="false" outlineLevel="0" collapsed="false">
      <c r="L20" s="0" t="n">
        <f aca="false">Katalog!J20</f>
        <v>2</v>
      </c>
      <c r="M20" s="0" t="n">
        <f aca="false">Katalog!I20</f>
        <v>4</v>
      </c>
      <c r="N20" s="0" t="n">
        <f aca="false">Katalog!A20</f>
        <v>19</v>
      </c>
    </row>
    <row r="21" customFormat="false" ht="15" hidden="false" customHeight="false" outlineLevel="0" collapsed="false">
      <c r="L21" s="0" t="n">
        <f aca="false">Katalog!J21</f>
        <v>2</v>
      </c>
      <c r="M21" s="0" t="n">
        <f aca="false">Katalog!I21</f>
        <v>5</v>
      </c>
      <c r="N21" s="0" t="n">
        <f aca="false">Katalog!A21</f>
        <v>20</v>
      </c>
    </row>
    <row r="22" customFormat="false" ht="15" hidden="false" customHeight="false" outlineLevel="0" collapsed="false">
      <c r="L22" s="0" t="n">
        <f aca="false">Katalog!J22</f>
        <v>1</v>
      </c>
      <c r="M22" s="0" t="n">
        <f aca="false">Katalog!I22</f>
        <v>3</v>
      </c>
      <c r="N22" s="0" t="n">
        <f aca="false">Katalog!A22</f>
        <v>21</v>
      </c>
    </row>
    <row r="23" customFormat="false" ht="15" hidden="false" customHeight="false" outlineLevel="0" collapsed="false">
      <c r="L23" s="0" t="n">
        <f aca="false">Katalog!J23</f>
        <v>2</v>
      </c>
      <c r="M23" s="0" t="n">
        <f aca="false">Katalog!I23</f>
        <v>5</v>
      </c>
      <c r="N23" s="0" t="n">
        <f aca="false">Katalog!A23</f>
        <v>22</v>
      </c>
    </row>
    <row r="24" customFormat="false" ht="15" hidden="false" customHeight="false" outlineLevel="0" collapsed="false">
      <c r="L24" s="0" t="n">
        <f aca="false">Katalog!J24</f>
        <v>1</v>
      </c>
      <c r="M24" s="0" t="n">
        <f aca="false">Katalog!I24</f>
        <v>5</v>
      </c>
      <c r="N24" s="0" t="n">
        <f aca="false">Katalog!A24</f>
        <v>23</v>
      </c>
    </row>
    <row r="25" customFormat="false" ht="15" hidden="false" customHeight="false" outlineLevel="0" collapsed="false">
      <c r="L25" s="0" t="n">
        <f aca="false">Katalog!J25</f>
        <v>2</v>
      </c>
      <c r="M25" s="0" t="n">
        <f aca="false">Katalog!I25</f>
        <v>3</v>
      </c>
      <c r="N25" s="0" t="n">
        <f aca="false">Katalog!A25</f>
        <v>24</v>
      </c>
    </row>
    <row r="26" customFormat="false" ht="15" hidden="false" customHeight="false" outlineLevel="0" collapsed="false">
      <c r="L26" s="0" t="n">
        <f aca="false">Katalog!J26</f>
        <v>2</v>
      </c>
      <c r="M26" s="0" t="n">
        <f aca="false">Katalog!I26</f>
        <v>4</v>
      </c>
      <c r="N26" s="0" t="n">
        <f aca="false">Katalog!A26</f>
        <v>25</v>
      </c>
    </row>
    <row r="27" customFormat="false" ht="15" hidden="false" customHeight="false" outlineLevel="0" collapsed="false">
      <c r="L27" s="0" t="n">
        <f aca="false">Katalog!J27</f>
        <v>2</v>
      </c>
      <c r="M27" s="0" t="n">
        <f aca="false">Katalog!I27</f>
        <v>4</v>
      </c>
      <c r="N27" s="0" t="n">
        <f aca="false">Katalog!A27</f>
        <v>26</v>
      </c>
    </row>
    <row r="28" customFormat="false" ht="15" hidden="false" customHeight="false" outlineLevel="0" collapsed="false">
      <c r="L28" s="0" t="n">
        <f aca="false">Katalog!J28</f>
        <v>2</v>
      </c>
      <c r="M28" s="0" t="n">
        <f aca="false">Katalog!I28</f>
        <v>3</v>
      </c>
      <c r="N28" s="0" t="n">
        <f aca="false">Katalog!A28</f>
        <v>27</v>
      </c>
    </row>
    <row r="29" customFormat="false" ht="15" hidden="false" customHeight="false" outlineLevel="0" collapsed="false">
      <c r="L29" s="0" t="n">
        <f aca="false">Katalog!J29</f>
        <v>1</v>
      </c>
      <c r="M29" s="0" t="n">
        <f aca="false">Katalog!I29</f>
        <v>5</v>
      </c>
      <c r="N29" s="0" t="n">
        <f aca="false">Katalog!A29</f>
        <v>28</v>
      </c>
    </row>
    <row r="30" customFormat="false" ht="15" hidden="false" customHeight="false" outlineLevel="0" collapsed="false">
      <c r="L30" s="0" t="n">
        <f aca="false">Katalog!J30</f>
        <v>2</v>
      </c>
      <c r="M30" s="0" t="n">
        <f aca="false">Katalog!I30</f>
        <v>5</v>
      </c>
      <c r="N30" s="0" t="n">
        <f aca="false">Katalog!A30</f>
        <v>29</v>
      </c>
    </row>
    <row r="31" customFormat="false" ht="15" hidden="false" customHeight="false" outlineLevel="0" collapsed="false">
      <c r="L31" s="0" t="n">
        <f aca="false">Katalog!J31</f>
        <v>2</v>
      </c>
      <c r="M31" s="0" t="n">
        <f aca="false">Katalog!I31</f>
        <v>4</v>
      </c>
      <c r="N31" s="0" t="n">
        <f aca="false">Katalog!A31</f>
        <v>30</v>
      </c>
    </row>
    <row r="32" customFormat="false" ht="15" hidden="false" customHeight="false" outlineLevel="0" collapsed="false">
      <c r="L32" s="0" t="n">
        <f aca="false">Katalog!J32</f>
        <v>2</v>
      </c>
      <c r="M32" s="0" t="n">
        <f aca="false">Katalog!I32</f>
        <v>5</v>
      </c>
      <c r="N32" s="0" t="n">
        <f aca="false">Katalog!A32</f>
        <v>31</v>
      </c>
    </row>
    <row r="33" customFormat="false" ht="15" hidden="false" customHeight="false" outlineLevel="0" collapsed="false">
      <c r="L33" s="0" t="n">
        <f aca="false">Katalog!J33</f>
        <v>1</v>
      </c>
      <c r="M33" s="0" t="n">
        <f aca="false">Katalog!I33</f>
        <v>3</v>
      </c>
      <c r="N33" s="0" t="n">
        <f aca="false">Katalog!A33</f>
        <v>32</v>
      </c>
    </row>
    <row r="34" customFormat="false" ht="15" hidden="false" customHeight="false" outlineLevel="0" collapsed="false">
      <c r="L34" s="0" t="n">
        <f aca="false">Katalog!J34</f>
        <v>2</v>
      </c>
      <c r="M34" s="0" t="n">
        <f aca="false">Katalog!I34</f>
        <v>4</v>
      </c>
      <c r="N34" s="0" t="n">
        <f aca="false">Katalog!A34</f>
        <v>33</v>
      </c>
    </row>
    <row r="35" customFormat="false" ht="15" hidden="false" customHeight="false" outlineLevel="0" collapsed="false">
      <c r="L35" s="0" t="n">
        <f aca="false">Katalog!J35</f>
        <v>1</v>
      </c>
      <c r="M35" s="0" t="n">
        <f aca="false">Katalog!I35</f>
        <v>5</v>
      </c>
      <c r="N35" s="0" t="n">
        <f aca="false">Katalog!A35</f>
        <v>34</v>
      </c>
    </row>
    <row r="36" customFormat="false" ht="15" hidden="false" customHeight="false" outlineLevel="0" collapsed="false">
      <c r="L36" s="0" t="n">
        <f aca="false">Katalog!J36</f>
        <v>1</v>
      </c>
      <c r="M36" s="0" t="n">
        <f aca="false">Katalog!I36</f>
        <v>4</v>
      </c>
      <c r="N36" s="0" t="n">
        <f aca="false">Katalog!A36</f>
        <v>35</v>
      </c>
    </row>
    <row r="37" customFormat="false" ht="15" hidden="false" customHeight="false" outlineLevel="0" collapsed="false">
      <c r="L37" s="0" t="n">
        <f aca="false">Katalog!J37</f>
        <v>2</v>
      </c>
      <c r="M37" s="0" t="n">
        <f aca="false">Katalog!I37</f>
        <v>4</v>
      </c>
      <c r="N37" s="0" t="n">
        <f aca="false">Katalog!A37</f>
        <v>36</v>
      </c>
    </row>
    <row r="38" customFormat="false" ht="15" hidden="false" customHeight="false" outlineLevel="0" collapsed="false">
      <c r="L38" s="0" t="n">
        <f aca="false">Katalog!J38</f>
        <v>1</v>
      </c>
      <c r="M38" s="0" t="n">
        <f aca="false">Katalog!I38</f>
        <v>3</v>
      </c>
      <c r="N38" s="0" t="n">
        <f aca="false">Katalog!A38</f>
        <v>37</v>
      </c>
    </row>
    <row r="39" customFormat="false" ht="15" hidden="false" customHeight="false" outlineLevel="0" collapsed="false">
      <c r="L39" s="0" t="n">
        <f aca="false">Katalog!J39</f>
        <v>1</v>
      </c>
      <c r="M39" s="0" t="n">
        <f aca="false">Katalog!I39</f>
        <v>3</v>
      </c>
      <c r="N39" s="0" t="n">
        <f aca="false">Katalog!A39</f>
        <v>38</v>
      </c>
    </row>
    <row r="40" customFormat="false" ht="15" hidden="false" customHeight="false" outlineLevel="0" collapsed="false">
      <c r="L40" s="0" t="n">
        <f aca="false">Katalog!J40</f>
        <v>2</v>
      </c>
      <c r="M40" s="0" t="n">
        <f aca="false">Katalog!I40</f>
        <v>3</v>
      </c>
      <c r="N40" s="0" t="n">
        <f aca="false">Katalog!A40</f>
        <v>39</v>
      </c>
    </row>
  </sheetData>
  <mergeCells count="1"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2026-06-20T04:23:38Z</dcterms:created>
  <dc:creator>openpyxl</dc:creator>
  <dc:description/>
  <dc:language>en-US</dc:language>
  <cp:lastModifiedBy/>
  <dcterms:modified xsi:type="dcterms:W3CDTF">2026-06-20T04:23:38Z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