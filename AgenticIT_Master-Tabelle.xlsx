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Master" sheetId="2" state="visible" r:id="rId4"/>
  </sheets>
  <definedNames>
    <definedName function="false" hidden="true" localSheetId="1" name="_xlnm._FilterDatabase" vbProcedure="false">Master!$A$1:$L$123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<sst xmlns="http://schemas.openxmlformats.org/spreadsheetml/2006/main" count="1380" uniqueCount="802">
  <si>
    <t xml:space="preserve">AgenticIT  ·  Master-Tabelle aller Automatisierungen</t>
  </si>
  <si>
    <t xml:space="preserve">Alles in einer Tabelle: Kundenerlebnis + Effizienz + Wachstumsmotor, verknüpft mit den 12 Rechner-Bereichen</t>
  </si>
  <si>
    <t xml:space="preserve">Dies ist die zentrale Quelle. Jede Automation trägt ihren Katalog, den Original-Bereich und den passenden Rechner-Bereich – so lässt sich alles filtern, priorisieren und direkt mit dem Online-Rechner verbinden.</t>
  </si>
  <si>
    <t xml:space="preserve">Nach Katalog</t>
  </si>
  <si>
    <t xml:space="preserve">Nach Rechner-Bereich</t>
  </si>
  <si>
    <t xml:space="preserve">Katalog</t>
  </si>
  <si>
    <t xml:space="preserve">Anzahl</t>
  </si>
  <si>
    <t xml:space="preserve">Rechner-Bereich</t>
  </si>
  <si>
    <t xml:space="preserve">Kundenerlebnis</t>
  </si>
  <si>
    <t xml:space="preserve">Telefon &amp; Empfang</t>
  </si>
  <si>
    <t xml:space="preserve">Effizienz</t>
  </si>
  <si>
    <t xml:space="preserve">Termine vereinbaren</t>
  </si>
  <si>
    <t xml:space="preserve">Wachstumsmotor</t>
  </si>
  <si>
    <t xml:space="preserve">Büro &amp; Verwaltung</t>
  </si>
  <si>
    <t xml:space="preserve">Gesamt</t>
  </si>
  <si>
    <t xml:space="preserve">Buchhaltung &amp; Rechnungen</t>
  </si>
  <si>
    <t xml:space="preserve">Kundengewinnung</t>
  </si>
  <si>
    <t xml:space="preserve">Anfragen bearbeiten</t>
  </si>
  <si>
    <t xml:space="preserve">Angebote &amp; Abschluss</t>
  </si>
  <si>
    <t xml:space="preserve">Kundenbetreuung</t>
  </si>
  <si>
    <t xml:space="preserve">Kundenbindung &amp; Verlängerung</t>
  </si>
  <si>
    <t xml:space="preserve">Empfehlungen &amp; Bewertungen</t>
  </si>
  <si>
    <t xml:space="preserve">Marketing &amp; Inhalte</t>
  </si>
  <si>
    <t xml:space="preserve">Personal &amp; Einstellung</t>
  </si>
  <si>
    <t xml:space="preserve">Leitplanken: KI kennzeichnen (AI-Disclosure) · Outreach/Angebote vor Versand menschlich prüfen · DSGVO-konform.</t>
  </si>
  <si>
    <t xml:space="preserve">Nr.</t>
  </si>
  <si>
    <t xml:space="preserve">Bereich (Original)</t>
  </si>
  <si>
    <t xml:space="preserve">Automatisierung / Use Case</t>
  </si>
  <si>
    <t xml:space="preserve">Auslöser / Signal</t>
  </si>
  <si>
    <t xml:space="preserve">Ablauf (kurz)</t>
  </si>
  <si>
    <t xml:space="preserve">Tools &amp; Integrationen (n8n)</t>
  </si>
  <si>
    <t xml:space="preserve">Aufwand</t>
  </si>
  <si>
    <t xml:space="preserve">Wirkung / Nutzen</t>
  </si>
  <si>
    <t xml:space="preserve">Branchen</t>
  </si>
  <si>
    <t xml:space="preserve">Compliance / Leitplanke</t>
  </si>
  <si>
    <t xml:space="preserve">Betreuen</t>
  </si>
  <si>
    <t xml:space="preserve">Lead-Willkommens-Onboarding</t>
  </si>
  <si>
    <t xml:space="preserve">Neuer Lead/Kontakt im CRM</t>
  </si>
  <si>
    <t xml:space="preserve">Personalisierte Willkommens-Mail + Ressourcen-Paket + erste Schritte automatisch versenden.</t>
  </si>
  <si>
    <t xml:space="preserve">CRM (HubSpot/Zoho/Pipedrive), Gmail/SMTP, OpenAI</t>
  </si>
  <si>
    <t xml:space="preserve">Niedrig</t>
  </si>
  <si>
    <t xml:space="preserve">Schnellerer Erstkontakt, +Conversion</t>
  </si>
  <si>
    <t xml:space="preserve">Alle</t>
  </si>
  <si>
    <t xml:space="preserve">DSGVO: Double-Opt-in beachten</t>
  </si>
  <si>
    <t xml:space="preserve">Lead-Scoring &amp; Auto-Routing</t>
  </si>
  <si>
    <t xml:space="preserve">Neuer Lead trifft ein</t>
  </si>
  <si>
    <t xml:space="preserve">KI bewertet Lead-Qualität und weist ihn dem passenden Berater/Team zu.</t>
  </si>
  <si>
    <t xml:space="preserve">Webhook, OpenAI, CRM, Slack</t>
  </si>
  <si>
    <t xml:space="preserve">Mittel</t>
  </si>
  <si>
    <t xml:space="preserve">Hot Leads zuerst, schnellere Reaktion</t>
  </si>
  <si>
    <t xml:space="preserve">—</t>
  </si>
  <si>
    <t xml:space="preserve">Termin-Erinnerungen (E-Mail/SMS)</t>
  </si>
  <si>
    <t xml:space="preserve">Kalendereintrag 24h/1h vorher</t>
  </si>
  <si>
    <t xml:space="preserve">Automatische Reminder reduzieren No-Shows; Bestätigungs-Link inklusive.</t>
  </si>
  <si>
    <t xml:space="preserve">Google Calendar, Twilio, SMTP</t>
  </si>
  <si>
    <t xml:space="preserve">-30-50% No-Shows</t>
  </si>
  <si>
    <t xml:space="preserve">Alle, Gesundheit, Beratung</t>
  </si>
  <si>
    <t xml:space="preserve">DSGVO: SMS-Einwilligung</t>
  </si>
  <si>
    <t xml:space="preserve">No-Show-Recovery</t>
  </si>
  <si>
    <t xml:space="preserve">Termin verpasst (kein Erscheinen)</t>
  </si>
  <si>
    <t xml:space="preserve">Automatische, freundliche Reschedule-Sequenz mit neuem Buchungslink.</t>
  </si>
  <si>
    <t xml:space="preserve">Calendar, Cal.com/Calendly, SMTP</t>
  </si>
  <si>
    <t xml:space="preserve">Wiedergewonnene Termine</t>
  </si>
  <si>
    <t xml:space="preserve">Alle, Immobilien, Coaching</t>
  </si>
  <si>
    <t xml:space="preserve">Dokumenten-Anforderung &amp; Eingang</t>
  </si>
  <si>
    <t xml:space="preserve">Pflichtdokument fehlt im Vorgang</t>
  </si>
  <si>
    <t xml:space="preserve">Automatische Nachfrage mit Upload-Link; Eingang wird im CRM protokolliert.</t>
  </si>
  <si>
    <t xml:space="preserve">CRM, Webhook, Cloud-Storage, SMTP</t>
  </si>
  <si>
    <t xml:space="preserve">Weniger manuelles Nachhaken</t>
  </si>
  <si>
    <t xml:space="preserve">Versicherung, Kanzlei, Bank</t>
  </si>
  <si>
    <t xml:space="preserve">DSGVO: sichere Übertragung</t>
  </si>
  <si>
    <t xml:space="preserve">Support-Ticket Auto-Triage</t>
  </si>
  <si>
    <t xml:space="preserve">Eingehende Support-Mail/Ticket</t>
  </si>
  <si>
    <t xml:space="preserve">KI klassifiziert Anliegen, priorisiert und routet ans richtige Team.</t>
  </si>
  <si>
    <t xml:space="preserve">Helpdesk (Zammad/Freshdesk), OpenAI</t>
  </si>
  <si>
    <t xml:space="preserve">Schnellere Lösungszeit</t>
  </si>
  <si>
    <t xml:space="preserve">Alle, SaaS, E-Commerce</t>
  </si>
  <si>
    <t xml:space="preserve">KI-Kennzeichnung intern</t>
  </si>
  <si>
    <t xml:space="preserve">FAQ-KI-Assistent (Website)</t>
  </si>
  <si>
    <t xml:space="preserve">Besucher stellt Frage im Chat</t>
  </si>
  <si>
    <t xml:space="preserve">KI-Assistent beantwortet Standardfragen 24/7 und eskaliert bei Bedarf an Mensch.</t>
  </si>
  <si>
    <t xml:space="preserve">Chat-Widget, OpenAI, CRM</t>
  </si>
  <si>
    <t xml:space="preserve">Entlastung Team, schnellere Antwort</t>
  </si>
  <si>
    <t xml:space="preserve">AI-Disclosure: 'Ich bin ein KI-Assistent von...' Pflicht</t>
  </si>
  <si>
    <t xml:space="preserve">Rückruf-Automatik bei verpasstem Anruf</t>
  </si>
  <si>
    <t xml:space="preserve">Verpasster eingehender Anruf</t>
  </si>
  <si>
    <t xml:space="preserve">SMS mit Entschuldigung + Self-Service-Buchungslink für Rückruf.</t>
  </si>
  <si>
    <t xml:space="preserve">Telefonie (Aircall/Twilio), Calendar</t>
  </si>
  <si>
    <t xml:space="preserve">Kein verlorener Lead</t>
  </si>
  <si>
    <t xml:space="preserve">Alle, Handwerk, Praxis</t>
  </si>
  <si>
    <t xml:space="preserve">Angebots-Follow-up-Sequenz</t>
  </si>
  <si>
    <t xml:space="preserve">Angebot/Offerte versendet</t>
  </si>
  <si>
    <t xml:space="preserve">Automatische Erinnerungen nach 2/5/10 Tagen mit Mehrwert statt Druck.</t>
  </si>
  <si>
    <t xml:space="preserve">CRM, SMTP, OpenAI</t>
  </si>
  <si>
    <t xml:space="preserve">+15-25% Abschlussquote</t>
  </si>
  <si>
    <t xml:space="preserve">Alle, B2B, Agentur</t>
  </si>
  <si>
    <t xml:space="preserve">Human-in-the-loop vor Versand</t>
  </si>
  <si>
    <t xml:space="preserve">Proaktive Status-Updates</t>
  </si>
  <si>
    <t xml:space="preserve">Projekt-/Auftragsphase wechselt</t>
  </si>
  <si>
    <t xml:space="preserve">Kunde erhält automatisch verständliches Fortschritts-Update.</t>
  </si>
  <si>
    <t xml:space="preserve">CRM/PM-Tool, SMTP, Slack</t>
  </si>
  <si>
    <t xml:space="preserve">Weniger Nachfragen, mehr Vertrauen</t>
  </si>
  <si>
    <t xml:space="preserve">Agentur, Handwerk, Bau</t>
  </si>
  <si>
    <t xml:space="preserve">Halten</t>
  </si>
  <si>
    <t xml:space="preserve">Vertragsverlängerungs-Reminder</t>
  </si>
  <si>
    <t xml:space="preserve">Vertrag läuft in 60/30 Tagen aus</t>
  </si>
  <si>
    <t xml:space="preserve">Renewal-Sequenz mit Nutzen-Zusammenfassung + Verlängerungs-Termin.</t>
  </si>
  <si>
    <t xml:space="preserve">CRM, Calendar, SMTP</t>
  </si>
  <si>
    <t xml:space="preserve">Höhere Renewal-Rate</t>
  </si>
  <si>
    <t xml:space="preserve">Versicherung, SaaS, Abo</t>
  </si>
  <si>
    <t xml:space="preserve">Human-in-the-loop</t>
  </si>
  <si>
    <t xml:space="preserve">Churn-Frühwarnsystem</t>
  </si>
  <si>
    <t xml:space="preserve">Nutzungsabfall / Inaktivität erkannt</t>
  </si>
  <si>
    <t xml:space="preserve">Score sinkt → Alert an Account Manager + automatische Win-back-Aktion.</t>
  </si>
  <si>
    <t xml:space="preserve">Analytics, CRM, Slack, OpenAI</t>
  </si>
  <si>
    <t xml:space="preserve">Hoch</t>
  </si>
  <si>
    <t xml:space="preserve">Churn-Reduktion vor Kündigung</t>
  </si>
  <si>
    <t xml:space="preserve">SaaS, Abo, Fitness</t>
  </si>
  <si>
    <t xml:space="preserve">NPS-/Zufriedenheits-Umfrage</t>
  </si>
  <si>
    <t xml:space="preserve">Nach Meilenstein/Lieferung</t>
  </si>
  <si>
    <t xml:space="preserve">Automatische Umfrage; Routing nach Score (Promotor vs. Kritiker).</t>
  </si>
  <si>
    <t xml:space="preserve">Typeform/Tally, CRM, OpenAI</t>
  </si>
  <si>
    <t xml:space="preserve">Frühe Insights, Steuerung</t>
  </si>
  <si>
    <t xml:space="preserve">DSGVO-konforme Tools</t>
  </si>
  <si>
    <t xml:space="preserve">Negativ-Feedback-Eskalation</t>
  </si>
  <si>
    <t xml:space="preserve">Schlechte Bewertung/niedriger Score</t>
  </si>
  <si>
    <t xml:space="preserve">Sofort-Alert an Verantwortlichen + vorbereiteter Recovery-Entwurf.</t>
  </si>
  <si>
    <t xml:space="preserve">Webhook, Slack, CRM, OpenAI</t>
  </si>
  <si>
    <t xml:space="preserve">Beschwerden retten Kunden</t>
  </si>
  <si>
    <t xml:space="preserve">Alle, Gastro, E-Commerce</t>
  </si>
  <si>
    <t xml:space="preserve">Win-back inaktive Kunden</t>
  </si>
  <si>
    <t xml:space="preserve">90 Tage keine Aktivität</t>
  </si>
  <si>
    <t xml:space="preserve">Reaktivierungs-Sequenz mit personalisiertem Anreiz/Offer.</t>
  </si>
  <si>
    <t xml:space="preserve">CRM, E-Mail-Tool, OpenAI</t>
  </si>
  <si>
    <t xml:space="preserve">Reaktivierte Umsätze</t>
  </si>
  <si>
    <t xml:space="preserve">Alle, E-Commerce, Abo</t>
  </si>
  <si>
    <t xml:space="preserve">DSGVO: Werbe-Einwilligung</t>
  </si>
  <si>
    <t xml:space="preserve">Failed-Payment-Recovery (Dunning)</t>
  </si>
  <si>
    <t xml:space="preserve">Zahlung fehlgeschlagen</t>
  </si>
  <si>
    <t xml:space="preserve">Freundliche, gestaffelte Reminder + Self-Service-Update der Zahlung.</t>
  </si>
  <si>
    <t xml:space="preserve">Stripe, SMTP, CRM</t>
  </si>
  <si>
    <t xml:space="preserve">Weniger unfreiwilliger Churn</t>
  </si>
  <si>
    <t xml:space="preserve">SaaS, Abo, E-Commerce</t>
  </si>
  <si>
    <t xml:space="preserve">Quarterly Business Review</t>
  </si>
  <si>
    <t xml:space="preserve">Quartalsende erreicht</t>
  </si>
  <si>
    <t xml:space="preserve">Automatischer Erfolgs-Report + Terminvorschlag für Review-Call.</t>
  </si>
  <si>
    <t xml:space="preserve">CRM, Sheets/Looker, Calendar</t>
  </si>
  <si>
    <t xml:space="preserve">Stärkere Kundenbindung B2B</t>
  </si>
  <si>
    <t xml:space="preserve">B2B, Agentur, SaaS</t>
  </si>
  <si>
    <t xml:space="preserve">Cross-/Upsell-Trigger</t>
  </si>
  <si>
    <t xml:space="preserve">Nutzungs-/Erfolgs-Schwelle erreicht</t>
  </si>
  <si>
    <t xml:space="preserve">Passendes Zusatzangebot zum richtigen Moment automatisch ausspielen.</t>
  </si>
  <si>
    <t xml:space="preserve">CRM, Analytics, OpenAI, SMTP</t>
  </si>
  <si>
    <t xml:space="preserve">+Umsatz je Bestandskunde</t>
  </si>
  <si>
    <t xml:space="preserve">Alle, SaaS, Versicherung</t>
  </si>
  <si>
    <t xml:space="preserve">Kündigung abfangen (Save-Flow)</t>
  </si>
  <si>
    <t xml:space="preserve">Kündigungsabsicht erkannt</t>
  </si>
  <si>
    <t xml:space="preserve">Alternativen (Pause, Downgrade, Bonus) automatisch anbieten statt Verlust.</t>
  </si>
  <si>
    <t xml:space="preserve">CRM, Webhook, SMTP</t>
  </si>
  <si>
    <t xml:space="preserve">Gerettete Verträge</t>
  </si>
  <si>
    <t xml:space="preserve">Abo, SaaS, Fitness</t>
  </si>
  <si>
    <t xml:space="preserve">Transparent, keine Dark Patterns</t>
  </si>
  <si>
    <t xml:space="preserve">Treue-/Loyalitäts-Tracking</t>
  </si>
  <si>
    <t xml:space="preserve">Kundenaktivität/Käufe</t>
  </si>
  <si>
    <t xml:space="preserve">Punkte automatisch gutschreiben + Status-Update + Belohnungs-Trigger.</t>
  </si>
  <si>
    <t xml:space="preserve">CRM/Loyalty, Sheets, SMTP</t>
  </si>
  <si>
    <t xml:space="preserve">Wiederkaufrate steigt</t>
  </si>
  <si>
    <t xml:space="preserve">E-Commerce, Gastro, Retail</t>
  </si>
  <si>
    <t xml:space="preserve">DSGVO: Profilbildung beachten</t>
  </si>
  <si>
    <t xml:space="preserve">Geplante Check-in-Calls</t>
  </si>
  <si>
    <t xml:space="preserve">X Tage nach Onboarding</t>
  </si>
  <si>
    <t xml:space="preserve">Automatischer Terminvorschlag für Zufriedenheits-Check-in.</t>
  </si>
  <si>
    <t xml:space="preserve">Frühe Bindung, weniger Churn</t>
  </si>
  <si>
    <t xml:space="preserve">B2B, Beratung, Coaching</t>
  </si>
  <si>
    <t xml:space="preserve">Überraschen</t>
  </si>
  <si>
    <t xml:space="preserve">Geburtstags-/Jahrestags-Gruß</t>
  </si>
  <si>
    <t xml:space="preserve">Datum aus Kontaktprofil erreicht</t>
  </si>
  <si>
    <t xml:space="preserve">Persönlicher Gruß, optional mit kleinem Gutschein/Aufmerksamkeit.</t>
  </si>
  <si>
    <t xml:space="preserve">Emotionale Bindung</t>
  </si>
  <si>
    <t xml:space="preserve">Alle, Retail, Praxis</t>
  </si>
  <si>
    <t xml:space="preserve">DSGVO: Geburtsdatum-Zweckbindung</t>
  </si>
  <si>
    <t xml:space="preserve">Meilenstein-Feier</t>
  </si>
  <si>
    <t xml:space="preserve">Kunde erreicht Nutzungs-/Jubiläums-Marke</t>
  </si>
  <si>
    <t xml:space="preserve">Automatischer Glückwunsch + ggf. kleines Geschenk/Badge.</t>
  </si>
  <si>
    <t xml:space="preserve">Analytics, CRM, SMTP</t>
  </si>
  <si>
    <t xml:space="preserve">Wow-Moment, Loyalität</t>
  </si>
  <si>
    <t xml:space="preserve">SaaS, Fitness, Community</t>
  </si>
  <si>
    <t xml:space="preserve">Überraschungs-Upgrade</t>
  </si>
  <si>
    <t xml:space="preserve">Treuekriterium erfüllt</t>
  </si>
  <si>
    <t xml:space="preserve">Unangekündigtes temporäres Premium-Feature freischalten + Info-Mail.</t>
  </si>
  <si>
    <t xml:space="preserve">CRM, App-API, SMTP</t>
  </si>
  <si>
    <t xml:space="preserve">Begeisterung, Upgrade-Lust</t>
  </si>
  <si>
    <t xml:space="preserve">SaaS, Abo, App</t>
  </si>
  <si>
    <t xml:space="preserve">Handgeschriebene-Karten-Automatik</t>
  </si>
  <si>
    <t xml:space="preserve">Wichtiger Anlass (Abschluss/Jubiläum)</t>
  </si>
  <si>
    <t xml:space="preserve">Print-Service löst echte handgeschriebene Karte aus.</t>
  </si>
  <si>
    <t xml:space="preserve">CRM, Handwritten/Pingen API</t>
  </si>
  <si>
    <t xml:space="preserve">Hohe Erinnerungswirkung</t>
  </si>
  <si>
    <t xml:space="preserve">Immobilien, B2B, Premium</t>
  </si>
  <si>
    <t xml:space="preserve">Personalisiertes Video-Dankeschön</t>
  </si>
  <si>
    <t xml:space="preserve">Vertragsabschluss / Kauf</t>
  </si>
  <si>
    <t xml:space="preserve">Automatisiert personalisiertes Dankesvideo erzeugen und senden.</t>
  </si>
  <si>
    <t xml:space="preserve">CRM, Video-API (Bhuman/Tavus), SMTP</t>
  </si>
  <si>
    <t xml:space="preserve">Differenzierung, Begeisterung</t>
  </si>
  <si>
    <t xml:space="preserve">Agentur, Coaching, B2B</t>
  </si>
  <si>
    <t xml:space="preserve">AI-Disclosure bei KI-Avatar</t>
  </si>
  <si>
    <t xml:space="preserve">Kontext-/Event-basierte Aufmerksamkeit</t>
  </si>
  <si>
    <t xml:space="preserve">Lokales Event/Wetter/Anlass</t>
  </si>
  <si>
    <t xml:space="preserve">Kontextbezogene, relevante Geste automatisch auslösen.</t>
  </si>
  <si>
    <t xml:space="preserve">Wetter/Event-API, CRM, SMTP</t>
  </si>
  <si>
    <t xml:space="preserve">Relevanz überrascht</t>
  </si>
  <si>
    <t xml:space="preserve">Retail, Gastro, Tourismus</t>
  </si>
  <si>
    <t xml:space="preserve">Empfehlungs-Belohnung (beidseitig)</t>
  </si>
  <si>
    <t xml:space="preserve">Kunde empfiehlt erfolgreich</t>
  </si>
  <si>
    <t xml:space="preserve">Beide Seiten erhalten automatisch eine Belohnung + Danke.</t>
  </si>
  <si>
    <t xml:space="preserve">Referral-Tool, CRM, SMTP</t>
  </si>
  <si>
    <t xml:space="preserve">Viral-Loop, günstige Leads</t>
  </si>
  <si>
    <t xml:space="preserve">Alle, E-Commerce, SaaS</t>
  </si>
  <si>
    <t xml:space="preserve">DSGVO bei Drittkontakt</t>
  </si>
  <si>
    <t xml:space="preserve">Erster-Erfolg-Gratulation</t>
  </si>
  <si>
    <t xml:space="preserve">Kunde erreicht ersten Aha-Moment</t>
  </si>
  <si>
    <t xml:space="preserve">Sofort-Glückwunsch + nächster sinnvoller Schritt.</t>
  </si>
  <si>
    <t xml:space="preserve">Analytics, CRM, SMTP, OpenAI</t>
  </si>
  <si>
    <t xml:space="preserve">Aktivierung, Begeisterung</t>
  </si>
  <si>
    <t xml:space="preserve">SaaS, App, Coaching</t>
  </si>
  <si>
    <t xml:space="preserve">Welcome-Box bei Abschluss</t>
  </si>
  <si>
    <t xml:space="preserve">Deal gewonnen / Vertrag unterzeichnet</t>
  </si>
  <si>
    <t xml:space="preserve">Automatisch Geschenk-/Welcome-Box bestellen und Versand triggern.</t>
  </si>
  <si>
    <t xml:space="preserve">CRM, Fulfillment-API, SMTP</t>
  </si>
  <si>
    <t xml:space="preserve">Starker erster Eindruck</t>
  </si>
  <si>
    <t xml:space="preserve">B2B, Premium, Agentur</t>
  </si>
  <si>
    <t xml:space="preserve">Spontaner Loyalitäts-Bonus</t>
  </si>
  <si>
    <t xml:space="preserve">Zufallsauswahl treuer Kunden</t>
  </si>
  <si>
    <t xml:space="preserve">Unerwarteter Bonus/Upgrade für ausgewählte Stammkunden.</t>
  </si>
  <si>
    <t xml:space="preserve">CRM, Sheets, SMTP</t>
  </si>
  <si>
    <t xml:space="preserve">Unerwartete Freude, Buzz</t>
  </si>
  <si>
    <t xml:space="preserve">Retail, Gastro, Abo</t>
  </si>
  <si>
    <t xml:space="preserve">Fairness/Transparenz</t>
  </si>
  <si>
    <t xml:space="preserve">Begeistern</t>
  </si>
  <si>
    <t xml:space="preserve">Jahres-Rückblick (Wrapped)</t>
  </si>
  <si>
    <t xml:space="preserve">Jahresende erreicht</t>
  </si>
  <si>
    <t xml:space="preserve">Hyper-personalisierter Daten-Rückblick als Wow-Erlebnis.</t>
  </si>
  <si>
    <t xml:space="preserve">Analytics, OpenAI, Canva/Design-API</t>
  </si>
  <si>
    <t xml:space="preserve">Hohe Teil-Rate, Advocacy</t>
  </si>
  <si>
    <t xml:space="preserve">SaaS, App, Fitness</t>
  </si>
  <si>
    <t xml:space="preserve">DSGVO: nur eigene Daten</t>
  </si>
  <si>
    <t xml:space="preserve">Proaktiver Service vor dem Problem</t>
  </si>
  <si>
    <t xml:space="preserve">Predictive Alert (Frühindikator)</t>
  </si>
  <si>
    <t xml:space="preserve">Kunde wird kontaktiert, bevor er das Problem überhaupt bemerkt.</t>
  </si>
  <si>
    <t xml:space="preserve">Monitoring, OpenAI, CRM, Slack</t>
  </si>
  <si>
    <t xml:space="preserve">Maximales Vertrauen</t>
  </si>
  <si>
    <t xml:space="preserve">SaaS, IT, Technik</t>
  </si>
  <si>
    <t xml:space="preserve">Review-Anfrage zum Peak-Moment</t>
  </si>
  <si>
    <t xml:space="preserve">Höchste Zufriedenheit erkannt</t>
  </si>
  <si>
    <t xml:space="preserve">Bewertungsanfrage genau im besten Moment automatisch senden.</t>
  </si>
  <si>
    <t xml:space="preserve">CRM, NPS, Google/Trustpilot, SMTP</t>
  </si>
  <si>
    <t xml:space="preserve">Mehr &amp; bessere Reviews</t>
  </si>
  <si>
    <t xml:space="preserve">Alle, lokal, E-Commerce</t>
  </si>
  <si>
    <t xml:space="preserve">Keine Anreiz-Manipulation</t>
  </si>
  <si>
    <t xml:space="preserve">Case-Study-Einladung Top-Kunden</t>
  </si>
  <si>
    <t xml:space="preserve">Erfolgskriterien erfüllt</t>
  </si>
  <si>
    <t xml:space="preserve">Automatische Einladung zur gemeinsamen Erfolgsgeschichte.</t>
  </si>
  <si>
    <t xml:space="preserve">CRM, OpenAI, SMTP</t>
  </si>
  <si>
    <t xml:space="preserve">Social Proof, Referenzen</t>
  </si>
  <si>
    <t xml:space="preserve">Einwilligung zur Nennung</t>
  </si>
  <si>
    <t xml:space="preserve">VIP-Concierge-Routing</t>
  </si>
  <si>
    <t xml:space="preserve">Top-Tier-Kunde meldet sich</t>
  </si>
  <si>
    <t xml:space="preserve">Priorisiertes Handling + fester persönlicher Ansprechpartner.</t>
  </si>
  <si>
    <t xml:space="preserve">CRM, Helpdesk, Slack</t>
  </si>
  <si>
    <t xml:space="preserve">Premium-Erlebnis, Bindung</t>
  </si>
  <si>
    <t xml:space="preserve">Banking, Premium, B2B</t>
  </si>
  <si>
    <t xml:space="preserve">Exklusive Event-/Community-Einladung</t>
  </si>
  <si>
    <t xml:space="preserve">Segment-/Wertkriterium erfüllt</t>
  </si>
  <si>
    <t xml:space="preserve">Automatische Einladung zu exklusivem Event oder Community.</t>
  </si>
  <si>
    <t xml:space="preserve">CRM, Event-Tool, SMTP</t>
  </si>
  <si>
    <t xml:space="preserve">Zugehörigkeit, Loyalität</t>
  </si>
  <si>
    <t xml:space="preserve">SaaS, Coaching, Premium</t>
  </si>
  <si>
    <t xml:space="preserve">DSGVO: Segmentierung</t>
  </si>
  <si>
    <t xml:space="preserve">KI-Content-Empfehlung</t>
  </si>
  <si>
    <t xml:space="preserve">Verhalten/Interessen erkannt</t>
  </si>
  <si>
    <t xml:space="preserve">KI kuratiert und sendet hochrelevante Inhalte personalisiert.</t>
  </si>
  <si>
    <t xml:space="preserve">Analytics, OpenAI, CMS, SMTP</t>
  </si>
  <si>
    <t xml:space="preserve">Engagement, Mehrwert</t>
  </si>
  <si>
    <t xml:space="preserve">Medien, SaaS, Bildung</t>
  </si>
  <si>
    <t xml:space="preserve">AI-Disclosure wo nötig</t>
  </si>
  <si>
    <t xml:space="preserve">Onboarding-Gamification</t>
  </si>
  <si>
    <t xml:space="preserve">Onboarding-Schritt abgeschlossen</t>
  </si>
  <si>
    <t xml:space="preserve">Badges, Fortschritt und kleine Belohnungen automatisch vergeben.</t>
  </si>
  <si>
    <t xml:space="preserve">App-API, CRM, SMTP</t>
  </si>
  <si>
    <t xml:space="preserve">Höhere Aktivierung</t>
  </si>
  <si>
    <t xml:space="preserve">SaaS, App, Bildung</t>
  </si>
  <si>
    <t xml:space="preserve">Wow-Impact-Report</t>
  </si>
  <si>
    <t xml:space="preserve">Meilenstein/Projektabschluss</t>
  </si>
  <si>
    <t xml:space="preserve">Schön gestalteter Erfolgs-Report mit klaren Resultaten automatisch.</t>
  </si>
  <si>
    <t xml:space="preserve">Sheets/Looker, Canva-API, SMTP</t>
  </si>
  <si>
    <t xml:space="preserve">Sichtbarer ROI, Verlängerung</t>
  </si>
  <si>
    <t xml:space="preserve">Agentur, B2B, Beratung</t>
  </si>
  <si>
    <t xml:space="preserve">Referral-Loop mit Social-Proof</t>
  </si>
  <si>
    <t xml:space="preserve">Begeisterter Kunde (Promotor)</t>
  </si>
  <si>
    <t xml:space="preserve">Empfehlungs-Einladung + fertige Teilen-Vorlagen automatisch ausspielen.</t>
  </si>
  <si>
    <t xml:space="preserve">CRM, Referral-Tool, Social-API</t>
  </si>
  <si>
    <t xml:space="preserve">Skalierbare Mund-zu-Mund</t>
  </si>
  <si>
    <t xml:space="preserve">Büro &amp; Admin</t>
  </si>
  <si>
    <t xml:space="preserve">Posteingang-Sortierung &amp; Priorisierung</t>
  </si>
  <si>
    <t xml:space="preserve">Neue E-Mail trifft ein</t>
  </si>
  <si>
    <t xml:space="preserve">KI klassifiziert, labelt und priorisiert Mails; legt Aufgaben automatisch an.</t>
  </si>
  <si>
    <t xml:space="preserve">Gmail/IMAP, OpenAI, Tasks</t>
  </si>
  <si>
    <t xml:space="preserve">~4-6 Std./Woche</t>
  </si>
  <si>
    <t xml:space="preserve">KI-Verarbeitung intern; DSGVO</t>
  </si>
  <si>
    <t xml:space="preserve">Meeting-Protokoll &amp; Action Items</t>
  </si>
  <si>
    <t xml:space="preserve">Meeting/Call beendet</t>
  </si>
  <si>
    <t xml:space="preserve">Transkript → Zusammenfassung + To-dos automatisch ins Projekt-Tool.</t>
  </si>
  <si>
    <t xml:space="preserve">Fireflies/Whisper, OpenAI, Notion/Asana</t>
  </si>
  <si>
    <t xml:space="preserve">~2-3 Std./Woche</t>
  </si>
  <si>
    <t xml:space="preserve">Alle, Beratung, Agentur</t>
  </si>
  <si>
    <t xml:space="preserve">Einwilligung zur Aufzeichnung</t>
  </si>
  <si>
    <t xml:space="preserve">Termin-Koordination / Scheduling</t>
  </si>
  <si>
    <t xml:space="preserve">Terminanfrage per Mail/Formular</t>
  </si>
  <si>
    <t xml:space="preserve">Verfügbarkeiten prüfen, Slot vorschlagen, buchen und bestätigen.</t>
  </si>
  <si>
    <t xml:space="preserve">Calendar, Cal.com, SMTP</t>
  </si>
  <si>
    <t xml:space="preserve">~2 Std./Woche</t>
  </si>
  <si>
    <t xml:space="preserve">Alle, Praxis, Coaching</t>
  </si>
  <si>
    <t xml:space="preserve">Beleg- &amp; Reisekosten-Erfassung</t>
  </si>
  <si>
    <t xml:space="preserve">Foto/Mail eines Belegs</t>
  </si>
  <si>
    <t xml:space="preserve">OCR liest Beleg, extrahiert Betrag/Datum und schreibt in Tabelle.</t>
  </si>
  <si>
    <t xml:space="preserve">OCR/Mindee, Sheets, Drive</t>
  </si>
  <si>
    <t xml:space="preserve">~3 Std./Woche</t>
  </si>
  <si>
    <t xml:space="preserve">Alle, Außendienst</t>
  </si>
  <si>
    <t xml:space="preserve">DSGVO: sensible Daten</t>
  </si>
  <si>
    <t xml:space="preserve">Dokumenten-Ablage &amp; Benennung</t>
  </si>
  <si>
    <t xml:space="preserve">Neues Dokument/Scan eingegangen</t>
  </si>
  <si>
    <t xml:space="preserve">Auto-Umbenennung nach Schema + Ablage im richtigen Ordner.</t>
  </si>
  <si>
    <t xml:space="preserve">Drive/SharePoint, OpenAI</t>
  </si>
  <si>
    <t xml:space="preserve">Alle, Kanzlei, Bau</t>
  </si>
  <si>
    <t xml:space="preserve">Fristen- &amp; Vertrags-Monitoring</t>
  </si>
  <si>
    <t xml:space="preserve">Frist/Verlängerung naht</t>
  </si>
  <si>
    <t xml:space="preserve">Fristen aus Verträgen erkennen, Reminder und Aufgaben erzeugen.</t>
  </si>
  <si>
    <t xml:space="preserve">Drive, OpenAI, Calendar</t>
  </si>
  <si>
    <t xml:space="preserve">Vermeidet teure Versäumnisse</t>
  </si>
  <si>
    <t xml:space="preserve">Kanzlei, Versicherung, B2B</t>
  </si>
  <si>
    <t xml:space="preserve">Tool-zu-Tool-Synchronisation</t>
  </si>
  <si>
    <t xml:space="preserve">Datensatz ändert sich</t>
  </si>
  <si>
    <t xml:space="preserve">CRM ↔ Sheets ↔ Buchhaltung automatisch synchron halten.</t>
  </si>
  <si>
    <t xml:space="preserve">Webhook, CRM, Sheets-API</t>
  </si>
  <si>
    <t xml:space="preserve">Schluss mit Doppel-Eingabe</t>
  </si>
  <si>
    <t xml:space="preserve">Wiederkehrende Reports</t>
  </si>
  <si>
    <t xml:space="preserve">Zeitplan (täglich/wöchentlich)</t>
  </si>
  <si>
    <t xml:space="preserve">Daten ziehen, aufbereiten und Report automatisch verschicken.</t>
  </si>
  <si>
    <t xml:space="preserve">Sheets/Looker, SMTP, Slack</t>
  </si>
  <si>
    <t xml:space="preserve">~3-4 Std./Woche</t>
  </si>
  <si>
    <t xml:space="preserve">Alle, Management</t>
  </si>
  <si>
    <t xml:space="preserve">Formular-Anfragen-Routing</t>
  </si>
  <si>
    <t xml:space="preserve">Webformular abgeschickt</t>
  </si>
  <si>
    <t xml:space="preserve">Anfrage validieren, ans richtige Team leiten + Eingangsbestätigung.</t>
  </si>
  <si>
    <t xml:space="preserve">Webhook, CRM, SMTP</t>
  </si>
  <si>
    <t xml:space="preserve">Alle, Dienstleistung</t>
  </si>
  <si>
    <t xml:space="preserve">Automatische Übersetzungen</t>
  </si>
  <si>
    <t xml:space="preserve">Dokument/Mail in Fremdsprache</t>
  </si>
  <si>
    <t xml:space="preserve">KI übersetzt Texte und legt Version ab oder antwortet mehrsprachig.</t>
  </si>
  <si>
    <t xml:space="preserve">OpenAI/DeepL, Drive, SMTP</t>
  </si>
  <si>
    <t xml:space="preserve">~1-2 Std./Woche</t>
  </si>
  <si>
    <t xml:space="preserve">Export, Tourismus, B2B</t>
  </si>
  <si>
    <t xml:space="preserve">Buchhaltung &amp; Finanzen</t>
  </si>
  <si>
    <t xml:space="preserve">Rechnungserstellung &amp; -versand</t>
  </si>
  <si>
    <t xml:space="preserve">Auftrag/Projekt abgeschlossen</t>
  </si>
  <si>
    <t xml:space="preserve">Rechnung automatisch generieren, prüfen lassen und versenden.</t>
  </si>
  <si>
    <t xml:space="preserve">CRM, Bexio/Lexoffice, SMTP</t>
  </si>
  <si>
    <t xml:space="preserve">Alle, Dienstleistung, Handwerk</t>
  </si>
  <si>
    <t xml:space="preserve">Eingangsrechnungen erfassen (OCR)</t>
  </si>
  <si>
    <t xml:space="preserve">Lieferanten-Rechnung (PDF/Mail)</t>
  </si>
  <si>
    <t xml:space="preserve">Daten per OCR extrahieren und in Buchhaltung vorerfassen.</t>
  </si>
  <si>
    <t xml:space="preserve">OCR/Mindee, Bexio/DATEV</t>
  </si>
  <si>
    <t xml:space="preserve">~4 Std./Woche</t>
  </si>
  <si>
    <t xml:space="preserve">Alle, Retail, Gastro</t>
  </si>
  <si>
    <t xml:space="preserve">DSGVO; Aufbewahrungspflicht</t>
  </si>
  <si>
    <t xml:space="preserve">Zahlungseingang-Abgleich</t>
  </si>
  <si>
    <t xml:space="preserve">Bank-Umsatz importiert</t>
  </si>
  <si>
    <t xml:space="preserve">Offene Posten automatisch matchen und als bezahlt markieren.</t>
  </si>
  <si>
    <t xml:space="preserve">Banking-API, Buchhaltung</t>
  </si>
  <si>
    <t xml:space="preserve">Finanzdaten-Sicherheit</t>
  </si>
  <si>
    <t xml:space="preserve">Mahnwesen automatisieren</t>
  </si>
  <si>
    <t xml:space="preserve">Rechnung überfällig</t>
  </si>
  <si>
    <t xml:space="preserve">Gestaffelte, freundliche Mahnungen automatisch versenden.</t>
  </si>
  <si>
    <t xml:space="preserve">Buchhaltung, SMTP, CRM</t>
  </si>
  <si>
    <t xml:space="preserve">Alle, KMU</t>
  </si>
  <si>
    <t xml:space="preserve">Human-in-the-loop ab Stufe 2</t>
  </si>
  <si>
    <t xml:space="preserve">Spesen-Freigabe-Workflow</t>
  </si>
  <si>
    <t xml:space="preserve">Spesenantrag eingereicht</t>
  </si>
  <si>
    <t xml:space="preserve">Antrag prüfen, an Vorgesetzte routen, Genehmigung dokumentieren.</t>
  </si>
  <si>
    <t xml:space="preserve">Forms, Slack, Sheets</t>
  </si>
  <si>
    <t xml:space="preserve">Alle, Mittelstand</t>
  </si>
  <si>
    <t xml:space="preserve">MwSt-/USt-Vorbereitung</t>
  </si>
  <si>
    <t xml:space="preserve">Periodenende erreicht</t>
  </si>
  <si>
    <t xml:space="preserve">Relevante Daten zusammenstellen und Treuhänder-Paket erzeugen.</t>
  </si>
  <si>
    <t xml:space="preserve">Buchhaltung, Sheets, Drive</t>
  </si>
  <si>
    <t xml:space="preserve">Spart Stunden je Periode</t>
  </si>
  <si>
    <t xml:space="preserve">Steuerliche Korrektheit prüfen</t>
  </si>
  <si>
    <t xml:space="preserve">Wiederkehrende Buchungen</t>
  </si>
  <si>
    <t xml:space="preserve">Monatlicher Stichtag</t>
  </si>
  <si>
    <t xml:space="preserve">Abos/Mieten/Verträge automatisch als Buchung erzeugen.</t>
  </si>
  <si>
    <t xml:space="preserve">Buchhaltung, Scheduler</t>
  </si>
  <si>
    <t xml:space="preserve">~1 Std./Woche</t>
  </si>
  <si>
    <t xml:space="preserve">Alle, Abo-Modelle</t>
  </si>
  <si>
    <t xml:space="preserve">Liquiditäts-Dashboard</t>
  </si>
  <si>
    <t xml:space="preserve">Täglicher Sync</t>
  </si>
  <si>
    <t xml:space="preserve">Cash-Position, offene Posten und Forecast automatisch aktualisieren.</t>
  </si>
  <si>
    <t xml:space="preserve">Banking, Buchhaltung, Looker</t>
  </si>
  <si>
    <t xml:space="preserve">Tagesaktuelle Übersicht</t>
  </si>
  <si>
    <t xml:space="preserve">Alle, Geschäftsführung</t>
  </si>
  <si>
    <t xml:space="preserve">Lohn-Vorbereitung</t>
  </si>
  <si>
    <t xml:space="preserve">Periodenende / Stundenerfassung</t>
  </si>
  <si>
    <t xml:space="preserve">Stunden zusammenführen und Lohnlauf-Daten vorbereiten.</t>
  </si>
  <si>
    <t xml:space="preserve">Zeiterfassung, Sheets, Payroll</t>
  </si>
  <si>
    <t xml:space="preserve">~2-3 Std./Monat</t>
  </si>
  <si>
    <t xml:space="preserve">KMU, Gastro, Handwerk</t>
  </si>
  <si>
    <t xml:space="preserve">Sensible Daten; DSGVO</t>
  </si>
  <si>
    <t xml:space="preserve">Telefon &amp; Kommunikation</t>
  </si>
  <si>
    <t xml:space="preserve">KI-Telefonempfang (Voice-Agent)</t>
  </si>
  <si>
    <t xml:space="preserve">Eingehender Anruf</t>
  </si>
  <si>
    <t xml:space="preserve">KI nimmt an, qualifiziert, beantwortet FAQ und bucht Termine.</t>
  </si>
  <si>
    <t xml:space="preserve">Voice-AI (Vapi/Retell), Calendar, CRM</t>
  </si>
  <si>
    <t xml:space="preserve">Erreichbarkeit rund um die Uhr</t>
  </si>
  <si>
    <t xml:space="preserve">Praxis, Handwerk, Dienstleistung</t>
  </si>
  <si>
    <t xml:space="preserve">AI-Disclosure: KI klar ansagen</t>
  </si>
  <si>
    <t xml:space="preserve">Voicemail-Transkription &amp; Routing</t>
  </si>
  <si>
    <t xml:space="preserve">Neue Voicemail</t>
  </si>
  <si>
    <t xml:space="preserve">Voicemail in Text wandeln, zusammenfassen und als Ticket anlegen.</t>
  </si>
  <si>
    <t xml:space="preserve">Telefonie, Whisper, CRM</t>
  </si>
  <si>
    <t xml:space="preserve">Alle, Service</t>
  </si>
  <si>
    <t xml:space="preserve">Anruf-Protokollierung im CRM</t>
  </si>
  <si>
    <t xml:space="preserve">Telefonat beendet</t>
  </si>
  <si>
    <t xml:space="preserve">Anruf automatisch im Kontakt protokollieren inkl. KI-Notiz.</t>
  </si>
  <si>
    <t xml:space="preserve">Aircall/Twilio, OpenAI, CRM</t>
  </si>
  <si>
    <t xml:space="preserve">Vertrieb, Service</t>
  </si>
  <si>
    <t xml:space="preserve">Aufzeichnungs-Einwilligung</t>
  </si>
  <si>
    <t xml:space="preserve">WhatsApp-/SMS-Auto-Antwort</t>
  </si>
  <si>
    <t xml:space="preserve">Eingehende Nachricht</t>
  </si>
  <si>
    <t xml:space="preserve">KI antwortet sofort, qualifiziert und eskaliert bei Bedarf.</t>
  </si>
  <si>
    <t xml:space="preserve">WhatsApp/Twilio, OpenAI, CRM</t>
  </si>
  <si>
    <t xml:space="preserve">Sofort-Reaktion statt Wartezeit</t>
  </si>
  <si>
    <t xml:space="preserve">AI-Disclosure; Opt-in</t>
  </si>
  <si>
    <t xml:space="preserve">Rückruf-Warteschlange</t>
  </si>
  <si>
    <t xml:space="preserve">Mehrere Anfragen/verpasste Calls</t>
  </si>
  <si>
    <t xml:space="preserve">Priorisierte Rückruf-Liste mit Kontext und Talking Points erzeugen.</t>
  </si>
  <si>
    <t xml:space="preserve">Telefonie, CRM, Sheets</t>
  </si>
  <si>
    <t xml:space="preserve">Kein Lead geht verloren</t>
  </si>
  <si>
    <t xml:space="preserve">Vertrieb, Dienstleistung</t>
  </si>
  <si>
    <t xml:space="preserve">Termin-Bestätigung per Anruf/SMS</t>
  </si>
  <si>
    <t xml:space="preserve">Termin steht an</t>
  </si>
  <si>
    <t xml:space="preserve">Automatisierte Bestätigung und Erinnerung reduziert No-Shows.</t>
  </si>
  <si>
    <t xml:space="preserve">Twilio, Calendar</t>
  </si>
  <si>
    <t xml:space="preserve">Praxis, Beauty, Beratung</t>
  </si>
  <si>
    <t xml:space="preserve">Opt-in</t>
  </si>
  <si>
    <t xml:space="preserve">Daten &amp; CRM-Pflege</t>
  </si>
  <si>
    <t xml:space="preserve">Lead-Daten-Anreicherung</t>
  </si>
  <si>
    <t xml:space="preserve">Neuer Lead im CRM</t>
  </si>
  <si>
    <t xml:space="preserve">Firmen-/Kontaktdaten automatisch anreichern und ergänzen.</t>
  </si>
  <si>
    <t xml:space="preserve">Clearbit/Apollo, CRM</t>
  </si>
  <si>
    <t xml:space="preserve">B2B, Vertrieb, SaaS</t>
  </si>
  <si>
    <t xml:space="preserve">DSGVO: Datenquellen prüfen</t>
  </si>
  <si>
    <t xml:space="preserve">Dubletten-Bereinigung</t>
  </si>
  <si>
    <t xml:space="preserve">Geplanter Scan / neuer Datensatz</t>
  </si>
  <si>
    <t xml:space="preserve">Duplikate erkennen, zusammenführen und CRM sauber halten.</t>
  </si>
  <si>
    <t xml:space="preserve">CRM, Webhook, Sheets</t>
  </si>
  <si>
    <t xml:space="preserve">Spart Stunden Aufräumen</t>
  </si>
  <si>
    <t xml:space="preserve">Alle, Vertrieb</t>
  </si>
  <si>
    <t xml:space="preserve">CRM-Datenhygiene</t>
  </si>
  <si>
    <t xml:space="preserve">Pflichtfeld fehlt/veraltet</t>
  </si>
  <si>
    <t xml:space="preserve">Lücken erkennen und automatisch Daten nachfordern/ergänzen.</t>
  </si>
  <si>
    <t xml:space="preserve">Saubere Pipeline</t>
  </si>
  <si>
    <t xml:space="preserve">Visitenkarten/Signatur-Erfassung</t>
  </si>
  <si>
    <t xml:space="preserve">Foto/Mail eines Kontakts</t>
  </si>
  <si>
    <t xml:space="preserve">Kontaktdaten extrahieren und als CRM-Kontakt anlegen.</t>
  </si>
  <si>
    <t xml:space="preserve">OCR, OpenAI, CRM</t>
  </si>
  <si>
    <t xml:space="preserve">Schnelle Nacherfassung</t>
  </si>
  <si>
    <t xml:space="preserve">Vertrieb, Events, Messe</t>
  </si>
  <si>
    <t xml:space="preserve">Automatische Listen-Segmentierung</t>
  </si>
  <si>
    <t xml:space="preserve">Kriterien/Verhalten erfüllt</t>
  </si>
  <si>
    <t xml:space="preserve">Kontakte automatisch in passende Segmente/Listen einsortieren.</t>
  </si>
  <si>
    <t xml:space="preserve">CRM, Analytics</t>
  </si>
  <si>
    <t xml:space="preserve">Zielgenaue Ansprache</t>
  </si>
  <si>
    <t xml:space="preserve">Alle, Marketing</t>
  </si>
  <si>
    <t xml:space="preserve">DSGVO: Profilbildung</t>
  </si>
  <si>
    <t xml:space="preserve">Strukturierte Lead-Recherche</t>
  </si>
  <si>
    <t xml:space="preserve">Quelle/Trigger definiert</t>
  </si>
  <si>
    <t xml:space="preserve">Öffentliche Daten sammeln und als saubere Lead-Liste aufbereiten.</t>
  </si>
  <si>
    <t xml:space="preserve">Scraping (legal), Sheets, OpenAI</t>
  </si>
  <si>
    <t xml:space="preserve">Skalierbare Listen</t>
  </si>
  <si>
    <t xml:space="preserve">Vertrieb, Recruiting</t>
  </si>
  <si>
    <t xml:space="preserve">Nur legale/öffentliche Quellen; DSGVO</t>
  </si>
  <si>
    <t xml:space="preserve">Marketing &amp; Content</t>
  </si>
  <si>
    <t xml:space="preserve">Social-Media-Planung &amp; Publishing</t>
  </si>
  <si>
    <t xml:space="preserve">Content-Freigabe</t>
  </si>
  <si>
    <t xml:space="preserve">Posts für mehrere Kanäle planen und automatisch veröffentlichen.</t>
  </si>
  <si>
    <t xml:space="preserve">Postiz/Buffer, Social-APIs</t>
  </si>
  <si>
    <t xml:space="preserve">Alle, Agentur, Retail</t>
  </si>
  <si>
    <t xml:space="preserve">Markenfreigabe vor Live</t>
  </si>
  <si>
    <t xml:space="preserve">Content-Repurposing</t>
  </si>
  <si>
    <t xml:space="preserve">Neuer Blog/Artikel/Video</t>
  </si>
  <si>
    <t xml:space="preserve">Ein Stück Content in Posts, Newsletter und Snippets umwandeln.</t>
  </si>
  <si>
    <t xml:space="preserve">OpenAI, CMS, Social-API</t>
  </si>
  <si>
    <t xml:space="preserve">Medien, Agentur, Coaching</t>
  </si>
  <si>
    <t xml:space="preserve">Human-Review</t>
  </si>
  <si>
    <t xml:space="preserve">Newsletter-Zusammenstellung</t>
  </si>
  <si>
    <t xml:space="preserve">Versand-Zeitplan</t>
  </si>
  <si>
    <t xml:space="preserve">Inhalte sammeln, kuratieren und Newsletter-Entwurf erstellen.</t>
  </si>
  <si>
    <t xml:space="preserve">CMS, OpenAI, Mailchimp/Klaviyo</t>
  </si>
  <si>
    <t xml:space="preserve">Alle, E-Commerce</t>
  </si>
  <si>
    <t xml:space="preserve">Werbe-Einwilligung</t>
  </si>
  <si>
    <t xml:space="preserve">Reviews sammeln &amp; teilen</t>
  </si>
  <si>
    <t xml:space="preserve">Neue positive Bewertung</t>
  </si>
  <si>
    <t xml:space="preserve">Bewertung automatisch als Social-Proof-Post aufbereiten.</t>
  </si>
  <si>
    <t xml:space="preserve">Google/Trustpilot, Canva-API, Social</t>
  </si>
  <si>
    <t xml:space="preserve">Kontinuierlicher Social Proof</t>
  </si>
  <si>
    <t xml:space="preserve">Lokal, E-Commerce, Gastro</t>
  </si>
  <si>
    <t xml:space="preserve">Echtheit; Einwilligung</t>
  </si>
  <si>
    <t xml:space="preserve">Bild-/Asset-Generierung</t>
  </si>
  <si>
    <t xml:space="preserve">Design-Brief eingereicht</t>
  </si>
  <si>
    <t xml:space="preserve">KI erzeugt Bildvarianten/Vorlagen für Kampagnen automatisch.</t>
  </si>
  <si>
    <t xml:space="preserve">OpenAI/Firefly, Canva-API, Drive</t>
  </si>
  <si>
    <t xml:space="preserve">Schnelle Asset-Produktion</t>
  </si>
  <si>
    <t xml:space="preserve">Bildrechte; KI-Kennzeichnung</t>
  </si>
  <si>
    <t xml:space="preserve">SEO-/Ranking-Reporting</t>
  </si>
  <si>
    <t xml:space="preserve">Wöchentlicher Lauf</t>
  </si>
  <si>
    <t xml:space="preserve">Rankings, Traffic und Wettbewerb automatisch reporten.</t>
  </si>
  <si>
    <t xml:space="preserve">Semrush/Ahrefs, Sheets, Slack</t>
  </si>
  <si>
    <t xml:space="preserve">Alle, Online</t>
  </si>
  <si>
    <t xml:space="preserve">HR &amp; Recruiting</t>
  </si>
  <si>
    <t xml:space="preserve">Bewerber-Vorscreening</t>
  </si>
  <si>
    <t xml:space="preserve">Neue Bewerbung eingegangen</t>
  </si>
  <si>
    <t xml:space="preserve">KI gleicht Profil mit Anforderungen ab und erstellt Match-Score.</t>
  </si>
  <si>
    <t xml:space="preserve">ATS, OpenAI, Sheets</t>
  </si>
  <si>
    <t xml:space="preserve">~4 Std./Stelle</t>
  </si>
  <si>
    <t xml:space="preserve">Alle, Recruiting</t>
  </si>
  <si>
    <t xml:space="preserve">Fairness; keine Diskriminierung; DSGVO</t>
  </si>
  <si>
    <t xml:space="preserve">Interview-Terminierung</t>
  </si>
  <si>
    <t xml:space="preserve">Kandidat in Shortlist</t>
  </si>
  <si>
    <t xml:space="preserve">Verfügbarkeiten abgleichen und Interview-Slots automatisch koordinieren.</t>
  </si>
  <si>
    <t xml:space="preserve">~2 Std./Stelle</t>
  </si>
  <si>
    <t xml:space="preserve">Onboarding neuer Mitarbeiter</t>
  </si>
  <si>
    <t xml:space="preserve">Einstellung bestätigt</t>
  </si>
  <si>
    <t xml:space="preserve">Checkliste, Accounts und Aufgaben automatisch auslösen.</t>
  </si>
  <si>
    <t xml:space="preserve">HR-Tool, Slack, IT-Provisioning</t>
  </si>
  <si>
    <t xml:space="preserve">~3-4 Std./Eintritt</t>
  </si>
  <si>
    <t xml:space="preserve">Alle, wachsende Teams</t>
  </si>
  <si>
    <t xml:space="preserve">Zugriffsrechte sauber setzen</t>
  </si>
  <si>
    <t xml:space="preserve">Abwesenheits-/Urlaubsverwaltung</t>
  </si>
  <si>
    <t xml:space="preserve">Urlaubsantrag gestellt</t>
  </si>
  <si>
    <t xml:space="preserve">Antrag routen, genehmigen und im Team-Kalender eintragen.</t>
  </si>
  <si>
    <t xml:space="preserve">Forms, Calendar, Slack</t>
  </si>
  <si>
    <t xml:space="preserve">DSGVO: Personaldaten</t>
  </si>
  <si>
    <t xml:space="preserve">FAQ-/Wissensdatenbank-Pflege</t>
  </si>
  <si>
    <t xml:space="preserve">Wiederkehrende Fragen erkannt</t>
  </si>
  <si>
    <t xml:space="preserve">Häufige Fragen erkennen und KB-Artikel-Entwürfe vorschlagen.</t>
  </si>
  <si>
    <t xml:space="preserve">Helpdesk, OpenAI, Notion</t>
  </si>
  <si>
    <t xml:space="preserve">Weniger Wiederholungs-Support</t>
  </si>
  <si>
    <t xml:space="preserve">Alle, SaaS, Service</t>
  </si>
  <si>
    <t xml:space="preserve">1 Lead-Gen</t>
  </si>
  <si>
    <t xml:space="preserve">Intent-Signal-Prospecting</t>
  </si>
  <si>
    <t xml:space="preserve">Jobanzeige / Funding / Tech-Wechsel beim Zielkonto</t>
  </si>
  <si>
    <t xml:space="preserve">Kaufsignal erkennen → ICP-Match → angereicherte Liste + personalisierter Outreach-Entwurf.</t>
  </si>
  <si>
    <t xml:space="preserve">Apollo/Clay, OpenAI, CRM</t>
  </si>
  <si>
    <t xml:space="preserve">Pipeline-Volumen · &gt;+30% qualifizierte Leads · Prio 1.67</t>
  </si>
  <si>
    <t xml:space="preserve">B2B, SaaS, Agentur</t>
  </si>
  <si>
    <t xml:space="preserve">Nur öffentl. Daten; Human-Review vor Versand</t>
  </si>
  <si>
    <t xml:space="preserve">Website-Visitor-Identifikation → Outbound</t>
  </si>
  <si>
    <t xml:space="preserve">Anonymer Firmen-Besucher auf High-Intent-Seite</t>
  </si>
  <si>
    <t xml:space="preserve">Besucher firmografisch identifizieren → SDR-Alert + passende Sequenz.</t>
  </si>
  <si>
    <t xml:space="preserve">Leadfeeder/RB2B, CRM, Slack</t>
  </si>
  <si>
    <t xml:space="preserve">Inbound→Outbound-Quote · +20-40% genutzte Intent-Signale · Prio 2.5</t>
  </si>
  <si>
    <t xml:space="preserve">B2B, SaaS</t>
  </si>
  <si>
    <t xml:space="preserve">DSGVO: keine Personen-Identifikation ohne Basis</t>
  </si>
  <si>
    <t xml:space="preserve">Social-Engagement-Mining</t>
  </si>
  <si>
    <t xml:space="preserve">Interaktion mit eigenem/Wettbewerber-Content</t>
  </si>
  <si>
    <t xml:space="preserve">Engager als Lead erfassen → Connect + kontextbezogene Nachricht.</t>
  </si>
  <si>
    <t xml:space="preserve">LinkedIn-API/PhantomBuster, CRM</t>
  </si>
  <si>
    <t xml:space="preserve">Top-of-Funnel · Wärmere Leads, höhere Antwortrate · Prio 2.0</t>
  </si>
  <si>
    <t xml:space="preserve">B2B, Coaching, Agentur</t>
  </si>
  <si>
    <t xml:space="preserve">Plattform-AGB; kein Spam</t>
  </si>
  <si>
    <t xml:space="preserve">Lookalike-Liste aus Best-Kunden</t>
  </si>
  <si>
    <t xml:space="preserve">Neuer Top-Kunde (Closed-Won)</t>
  </si>
  <si>
    <t xml:space="preserve">Merkmale extrahieren → ähnliche Firmen finden → Ziel-Liste bauen.</t>
  </si>
  <si>
    <t xml:space="preserve">Clay, Enrichment, CRM</t>
  </si>
  <si>
    <t xml:space="preserve">Listen-Qualität · Treffsicherere Zielkonten · Prio 2.0</t>
  </si>
  <si>
    <t xml:space="preserve">B2B, Vertrieb</t>
  </si>
  <si>
    <t xml:space="preserve">DSGVO; Quellenprüfung</t>
  </si>
  <si>
    <t xml:space="preserve">Trigger-Event-Monitoring (News/PR)</t>
  </si>
  <si>
    <t xml:space="preserve">Expansion, Leitungswechsel, Standorteröffnung</t>
  </si>
  <si>
    <t xml:space="preserve">Relevantes Event erkennen → Timing-perfekte, personalisierte Ansprache.</t>
  </si>
  <si>
    <t xml:space="preserve">News-API, OpenAI, CRM</t>
  </si>
  <si>
    <t xml:space="preserve">Antwortrate · Höhere Relevanz &amp; Reply-Rate · Prio 2.0</t>
  </si>
  <si>
    <t xml:space="preserve">B2B, Immobilien, Finanz</t>
  </si>
  <si>
    <t xml:space="preserve">Wettbewerber-Review-Mining</t>
  </si>
  <si>
    <t xml:space="preserve">Negative Bewertung beim Wettbewerber</t>
  </si>
  <si>
    <t xml:space="preserve">Unzufriedene Kunden erkennen → wertorientierter, taktvoller Outreach.</t>
  </si>
  <si>
    <t xml:space="preserve">Scraping (legal), OpenAI, CRM</t>
  </si>
  <si>
    <t xml:space="preserve">Switch-Pipeline · Günstige Abwerbe-Chancen · Prio 1.5</t>
  </si>
  <si>
    <t xml:space="preserve">Lokal, E-Commerce, SaaS</t>
  </si>
  <si>
    <t xml:space="preserve">Fair, kein Bad-Mouthing; DSGVO</t>
  </si>
  <si>
    <t xml:space="preserve">Regionale Lead-Recherche (Maps/Verzeichnisse)</t>
  </si>
  <si>
    <t xml:space="preserve">Neues Unternehmen/Branche in Zielregion</t>
  </si>
  <si>
    <t xml:space="preserve">Öffentliche Quellen sammeln → qualifizierte, angereicherte Liste.</t>
  </si>
  <si>
    <t xml:space="preserve">Maps-API, Sheets, OpenAI</t>
  </si>
  <si>
    <t xml:space="preserve">Listen-Aufbau · Skalierbarer Listenbau · Prio 1.5</t>
  </si>
  <si>
    <t xml:space="preserve">Lokal, B2B-Dienstleistung</t>
  </si>
  <si>
    <t xml:space="preserve">Nur öffentl. Daten; DSGVO</t>
  </si>
  <si>
    <t xml:space="preserve">2 Inbound</t>
  </si>
  <si>
    <t xml:space="preserve">Speed-to-Lead &lt; 60 Sekunden</t>
  </si>
  <si>
    <t xml:space="preserve">Inbound-Formular/Anfrage eingegangen</t>
  </si>
  <si>
    <t xml:space="preserve">Sofort SMS + Anruf-Routing + Terminslot, bevor der Lead abkühlt.</t>
  </si>
  <si>
    <t xml:space="preserve">Webhook, Twilio, Calendar, CRM</t>
  </si>
  <si>
    <t xml:space="preserve">Kontaktquote · Bis 9x höhere Kontaktrate · Prio 2.5</t>
  </si>
  <si>
    <t xml:space="preserve">Alle, Immobilien, Versicherung</t>
  </si>
  <si>
    <t xml:space="preserve">Opt-in; AI-Disclosure bei Auto-SMS</t>
  </si>
  <si>
    <t xml:space="preserve">Lead-Magnet-Auslieferung + Sequenz</t>
  </si>
  <si>
    <t xml:space="preserve">Download/Opt-in abgeschlossen</t>
  </si>
  <si>
    <t xml:space="preserve">Asset sofort liefern → passende Nurture-Sequenz automatisch starten.</t>
  </si>
  <si>
    <t xml:space="preserve">Forms, E-Mail-Tool, CRM</t>
  </si>
  <si>
    <t xml:space="preserve">Lead→MQL · Mehr aktivierte Leads · Prio 4.0</t>
  </si>
  <si>
    <t xml:space="preserve">Alle, Coaching, B2B</t>
  </si>
  <si>
    <t xml:space="preserve">KI-Chat-zu-Termin</t>
  </si>
  <si>
    <t xml:space="preserve">Website-Chat mit Kaufabsicht</t>
  </si>
  <si>
    <t xml:space="preserve">KI qualifiziert im Dialog und bucht direkt einen Termin.</t>
  </si>
  <si>
    <t xml:space="preserve">Chat-Widget, OpenAI, Calendar</t>
  </si>
  <si>
    <t xml:space="preserve">Demo-Buchungen · +Conversion aus Web-Traffic · Prio 2.0</t>
  </si>
  <si>
    <t xml:space="preserve">SaaS, Dienstleistung</t>
  </si>
  <si>
    <t xml:space="preserve">AI-Disclosure Pflicht</t>
  </si>
  <si>
    <t xml:space="preserve">Inbound-Call-Qualifizierung (Voice-AI)</t>
  </si>
  <si>
    <t xml:space="preserve">KI nimmt an, qualifiziert und bucht oder routet an Mensch.</t>
  </si>
  <si>
    <t xml:space="preserve">Voice-AI, Calendar, CRM</t>
  </si>
  <si>
    <t xml:space="preserve">Erreichbarkeit · Keine verpassten Anfragen · Prio 1.33</t>
  </si>
  <si>
    <t xml:space="preserve">Praxis, Handwerk, Service</t>
  </si>
  <si>
    <t xml:space="preserve">AI-Disclosure; Aufzeichnungs-Einwilligung</t>
  </si>
  <si>
    <t xml:space="preserve">Recovery abgebrochener Formulare</t>
  </si>
  <si>
    <t xml:space="preserve">Formular begonnen, nicht abgeschickt</t>
  </si>
  <si>
    <t xml:space="preserve">Erfasste Daten nutzen → freundlicher Anstoß zur Fertigstellung.</t>
  </si>
  <si>
    <t xml:space="preserve">Form-Tracking, SMTP, CRM</t>
  </si>
  <si>
    <t xml:space="preserve">Formular-Conversion · Zurückgewonnene Anfragen · Prio 1.5</t>
  </si>
  <si>
    <t xml:space="preserve">E-Commerce, SaaS, Versicherung</t>
  </si>
  <si>
    <t xml:space="preserve">DSGVO: nur mit Einwilligung</t>
  </si>
  <si>
    <t xml:space="preserve">3 Termin-Setting</t>
  </si>
  <si>
    <t xml:space="preserve">Autonomes Terminsetzen per E-Mail (KI-SDR)</t>
  </si>
  <si>
    <t xml:space="preserve">Lead antwortet positiv auf Outreach</t>
  </si>
  <si>
    <t xml:space="preserve">KI schlägt Slots vor, klärt Rückfragen und bucht den Termin.</t>
  </si>
  <si>
    <t xml:space="preserve">OpenAI, Calendar, CRM</t>
  </si>
  <si>
    <t xml:space="preserve">Gebuchte Termine · Mehr Termine ohne Mehrarbeit · Prio 1.67</t>
  </si>
  <si>
    <t xml:space="preserve">Human-Checkpoint bei Sonderfällen</t>
  </si>
  <si>
    <t xml:space="preserve">No-Show-Rebooking</t>
  </si>
  <si>
    <t xml:space="preserve">Termin verpasst</t>
  </si>
  <si>
    <t xml:space="preserve">Automatisch neuen Slot anbieten und Show-Rate sichern.</t>
  </si>
  <si>
    <t xml:space="preserve">Calendar, Twilio, SMTP</t>
  </si>
  <si>
    <t xml:space="preserve">Show-Rate · Weniger verlorene Termine · Prio 4.0</t>
  </si>
  <si>
    <t xml:space="preserve">Alle, Praxis, Beratung</t>
  </si>
  <si>
    <t xml:space="preserve">Show-Rate-Booster-Sequenz</t>
  </si>
  <si>
    <t xml:space="preserve">Termin gebucht</t>
  </si>
  <si>
    <t xml:space="preserve">Multi-Touch-Reminder (Mail/SMS) + Vorbereitungs-Wert senden.</t>
  </si>
  <si>
    <t xml:space="preserve">Show-Rate · -30-50% No-Shows · Prio 4.0</t>
  </si>
  <si>
    <t xml:space="preserve">Alle, Coaching, Sales</t>
  </si>
  <si>
    <t xml:space="preserve">Opt-in für SMS</t>
  </si>
  <si>
    <t xml:space="preserve">Kalt-Lead-Reaktivierung zu Termin</t>
  </si>
  <si>
    <t xml:space="preserve">Lead X Tage ohne Aktivität</t>
  </si>
  <si>
    <t xml:space="preserve">Re-Engage mit neuem Aufhänger → direkt Buchungs-Link.</t>
  </si>
  <si>
    <t xml:space="preserve">CRM, OpenAI, Calendar</t>
  </si>
  <si>
    <t xml:space="preserve">Wiederbelebte Leads · Termine aus toter Pipeline · Prio 2.0</t>
  </si>
  <si>
    <t xml:space="preserve">Human-Review der Ansprache</t>
  </si>
  <si>
    <t xml:space="preserve">4 Nurture</t>
  </si>
  <si>
    <t xml:space="preserve">Verhaltensbasierte Nurture-Sequenz</t>
  </si>
  <si>
    <t xml:space="preserve">Engagement-/Verhaltenssignal</t>
  </si>
  <si>
    <t xml:space="preserve">Passenden Content-Track automatisch nach Interesse ausspielen.</t>
  </si>
  <si>
    <t xml:space="preserve">CRM, Analytics, E-Mail-Tool</t>
  </si>
  <si>
    <t xml:space="preserve">Lead→SQL · Reifere Leads beim Sales · Prio 2.0</t>
  </si>
  <si>
    <t xml:space="preserve">Alle, SaaS, B2B</t>
  </si>
  <si>
    <t xml:space="preserve">Lead-Scoring-Eskalation an Sales</t>
  </si>
  <si>
    <t xml:space="preserve">Score überschreitet Schwelle</t>
  </si>
  <si>
    <t xml:space="preserve">SDR-Alert mit vollem Kontext + nächstem besten Schritt.</t>
  </si>
  <si>
    <t xml:space="preserve">CRM, OpenAI, Slack</t>
  </si>
  <si>
    <t xml:space="preserve">Sales-Reaktionszeit · Hot Leads zuerst · Prio 2.5</t>
  </si>
  <si>
    <t xml:space="preserve">B2B, SaaS, Vertrieb</t>
  </si>
  <si>
    <t xml:space="preserve">Lost-Deal-Reaktivierung</t>
  </si>
  <si>
    <t xml:space="preserve">Verlorener Deal + neues Trigger-Event</t>
  </si>
  <si>
    <t xml:space="preserve">Bei passendem Anlass automatisch wieder andocken.</t>
  </si>
  <si>
    <t xml:space="preserve">CRM, News-API, OpenAI</t>
  </si>
  <si>
    <t xml:space="preserve">Reaktivierte Deals · Zweite Chance auf Umsatz · Prio 2.0</t>
  </si>
  <si>
    <t xml:space="preserve">B2B, Immobilien</t>
  </si>
  <si>
    <t xml:space="preserve">Sales-Alert bei High-Intent-Content</t>
  </si>
  <si>
    <t xml:space="preserve">Pricing-/Case-Study-Seite angesehen</t>
  </si>
  <si>
    <t xml:space="preserve">Kaufabsicht erkennen → sofortiger Sales-Alert mit Kontext.</t>
  </si>
  <si>
    <t xml:space="preserve">Analytics, CRM, Slack</t>
  </si>
  <si>
    <t xml:space="preserve">Conversion-Timing · Perfektes Timing für Pitch · Prio 2.5</t>
  </si>
  <si>
    <t xml:space="preserve">SaaS, B2B</t>
  </si>
  <si>
    <t xml:space="preserve">DSGVO: Tracking-Einwilligung</t>
  </si>
  <si>
    <t xml:space="preserve">Newsletter→SQL-Pipeline</t>
  </si>
  <si>
    <t xml:space="preserve">Wiederkehrendes Klick-Engagement</t>
  </si>
  <si>
    <t xml:space="preserve">Engagement-Muster erkennen → Übergabe als Sales-Qualified-Lead.</t>
  </si>
  <si>
    <t xml:space="preserve">E-Mail-Tool, CRM</t>
  </si>
  <si>
    <t xml:space="preserve">MQL→SQL · Mehr Sales aus Bestandsliste · Prio 3.0</t>
  </si>
  <si>
    <t xml:space="preserve">Alle, B2B</t>
  </si>
  <si>
    <t xml:space="preserve">Einwilligung</t>
  </si>
  <si>
    <t xml:space="preserve">5 Closing</t>
  </si>
  <si>
    <t xml:space="preserve">KI-Angebots-/Proposal-Generierung</t>
  </si>
  <si>
    <t xml:space="preserve">Discovery abgeschlossen (Stage-Wechsel)</t>
  </si>
  <si>
    <t xml:space="preserve">Angebot/Proposal automatisch aus CRM-Daten entwerfen.</t>
  </si>
  <si>
    <t xml:space="preserve">CRM, OpenAI, PandaDoc</t>
  </si>
  <si>
    <t xml:space="preserve">Angebots-Durchlaufzeit · Schneller beim Kunden · Prio 2.5</t>
  </si>
  <si>
    <t xml:space="preserve">B2B, Agentur, Dienstleistung</t>
  </si>
  <si>
    <t xml:space="preserve">Human-Freigabe vor Versand</t>
  </si>
  <si>
    <t xml:space="preserve">Deal-Follow-up-Autopilot</t>
  </si>
  <si>
    <t xml:space="preserve">Angebot 48h ohne Reaktion</t>
  </si>
  <si>
    <t xml:space="preserve">Wertorientiertes Follow-up statt Druck, automatisch getaktet.</t>
  </si>
  <si>
    <t xml:space="preserve">Abschlussquote · +15-25% Close-Rate · Prio 5.0</t>
  </si>
  <si>
    <t xml:space="preserve">Einwand-Handling-Assist</t>
  </si>
  <si>
    <t xml:space="preserve">Einwand-Stichwort im Mail-Thread</t>
  </si>
  <si>
    <t xml:space="preserve">Passende Antwort + Beleg/Material dem Vertrieb vorschlagen.</t>
  </si>
  <si>
    <t xml:space="preserve">OpenAI, CRM, Drive</t>
  </si>
  <si>
    <t xml:space="preserve">Win-Rate · Schnellere Einwand-Lösung · Prio 1.5</t>
  </si>
  <si>
    <t xml:space="preserve">B2B, Sales</t>
  </si>
  <si>
    <t xml:space="preserve">Vertrags- &amp; E-Signatur-Versand</t>
  </si>
  <si>
    <t xml:space="preserve">Mündliches Ja / Stage = Abschluss</t>
  </si>
  <si>
    <t xml:space="preserve">Vertrag generieren + Signatur-Link senden + nachfassen.</t>
  </si>
  <si>
    <t xml:space="preserve">DocuSign, CRM, SMTP</t>
  </si>
  <si>
    <t xml:space="preserve">Time-to-Close · Schnellerer Abschluss · Prio 2.0</t>
  </si>
  <si>
    <t xml:space="preserve">Rechtsprüfung der Vorlage</t>
  </si>
  <si>
    <t xml:space="preserve">Stalled-Deal-Recovery</t>
  </si>
  <si>
    <t xml:space="preserve">Deal X Tage ohne Bewegung</t>
  </si>
  <si>
    <t xml:space="preserve">Multi-Threading + Reaktivierungs-Play automatisch anstoßen.</t>
  </si>
  <si>
    <t xml:space="preserve">Pipeline-Velocity · Weniger versandende Deals · Prio 2.0</t>
  </si>
  <si>
    <t xml:space="preserve">Genehmigtes Angebot/Rabatt-Freigabe</t>
  </si>
  <si>
    <t xml:space="preserve">Definierte Bedingungen erfüllt</t>
  </si>
  <si>
    <t xml:space="preserve">Innerhalb Regeln automatisch freigegebenes Angebot ausspielen.</t>
  </si>
  <si>
    <t xml:space="preserve">CRM, Approval-Flow</t>
  </si>
  <si>
    <t xml:space="preserve">Sales-Zyklus · Schnellere Freigaben · Prio 1.5</t>
  </si>
  <si>
    <t xml:space="preserve">B2B, Retail</t>
  </si>
  <si>
    <t xml:space="preserve">Klare Freigabe-Grenzen</t>
  </si>
  <si>
    <t xml:space="preserve">6 Renewal+Expansion</t>
  </si>
  <si>
    <t xml:space="preserve">Renewal-Autopilot (90/60/30 Tage)</t>
  </si>
  <si>
    <t xml:space="preserve">Vertragsablauf nähert sich</t>
  </si>
  <si>
    <t xml:space="preserve">Wert-Report + Verlängerungs-Termin proaktiv vor Ablauf.</t>
  </si>
  <si>
    <t xml:space="preserve">CRM, Looker, Calendar</t>
  </si>
  <si>
    <t xml:space="preserve">Renewal-Rate · +Verlängerungsquote · Prio 5.0</t>
  </si>
  <si>
    <t xml:space="preserve">Human-Freigabe</t>
  </si>
  <si>
    <t xml:space="preserve">Usage-basierter Upsell-Trigger</t>
  </si>
  <si>
    <t xml:space="preserve">Im richtigen Moment passendes Upgrade anbieten.</t>
  </si>
  <si>
    <t xml:space="preserve">Net Revenue Retention · +Umsatz je Kunde · Prio 2.5</t>
  </si>
  <si>
    <t xml:space="preserve">SaaS, Abo, Versicherung</t>
  </si>
  <si>
    <t xml:space="preserve">Human-Review bei Angebot</t>
  </si>
  <si>
    <t xml:space="preserve">Next-Best-Offer Cross-Sell (KI)</t>
  </si>
  <si>
    <t xml:space="preserve">Kauf-/Nutzungsmuster erkannt</t>
  </si>
  <si>
    <t xml:space="preserve">KI bestimmt bestes Zusatzangebot und spielt es aus.</t>
  </si>
  <si>
    <t xml:space="preserve">CRM, OpenAI, E-Mail-Tool</t>
  </si>
  <si>
    <t xml:space="preserve">Cross-Sell-Umsatz · Höherer Warenkorb · Prio 2.0</t>
  </si>
  <si>
    <t xml:space="preserve">E-Commerce, SaaS, Bank</t>
  </si>
  <si>
    <t xml:space="preserve">At-Risk-Renewal-Rettung</t>
  </si>
  <si>
    <t xml:space="preserve">Health-Score sinkt vor Renewal</t>
  </si>
  <si>
    <t xml:space="preserve">Frühwarnung → gezieltes Save-Play + AM-Alert.</t>
  </si>
  <si>
    <t xml:space="preserve">Gross Retention · Gerettete Verträge · Prio 2.5</t>
  </si>
  <si>
    <t xml:space="preserve">SaaS, Abo, B2B</t>
  </si>
  <si>
    <t xml:space="preserve">Proaktive Rechnungs-/Preis-Kommunikation</t>
  </si>
  <si>
    <t xml:space="preserve">Stichtag (Anpassung/Verlängerung)</t>
  </si>
  <si>
    <t xml:space="preserve">Klar und frühzeitig kommunizieren – ohne böse Überraschung.</t>
  </si>
  <si>
    <t xml:space="preserve">CRM, SMTP</t>
  </si>
  <si>
    <t xml:space="preserve">Zahlungsquote/Zufriedenheit · Weniger Reibung &amp; Churn · Prio 3.0</t>
  </si>
  <si>
    <t xml:space="preserve">Alle, Abo</t>
  </si>
  <si>
    <t xml:space="preserve">Transparenz Pflicht</t>
  </si>
  <si>
    <t xml:space="preserve">Win-back nach Churn</t>
  </si>
  <si>
    <t xml:space="preserve">Gekündigt + Zeit/Trigger erreicht</t>
  </si>
  <si>
    <t xml:space="preserve">Zeitversetztes, anlassbezogenes Rückhol-Angebot.</t>
  </si>
  <si>
    <t xml:space="preserve">Reaktivierungsrate · Zurückgewonnene Kunden · Prio 2.0</t>
  </si>
  <si>
    <t xml:space="preserve">7 Empfehlung</t>
  </si>
  <si>
    <t xml:space="preserve">Referral-Ask zum NPS-Peak</t>
  </si>
  <si>
    <t xml:space="preserve">Hoher NPS / Promotor erkannt</t>
  </si>
  <si>
    <t xml:space="preserve">Genau im Zufriedenheits-Peak um Empfehlung bitten.</t>
  </si>
  <si>
    <t xml:space="preserve">NPS-Tool, CRM, SMTP</t>
  </si>
  <si>
    <t xml:space="preserve">Empfehlungsrate · Mehr warme Leads · Prio 5.0</t>
  </si>
  <si>
    <t xml:space="preserve">Alle, B2B, Dienstleistung</t>
  </si>
  <si>
    <t xml:space="preserve">Echtheit; DSGVO bei Drittkontakt</t>
  </si>
  <si>
    <t xml:space="preserve">Review-Generierung zum Erfolgsmoment</t>
  </si>
  <si>
    <t xml:space="preserve">Erfolgs-/Lieferungs-Meilenstein</t>
  </si>
  <si>
    <t xml:space="preserve">Im besten Moment automatisch um Bewertung bitten.</t>
  </si>
  <si>
    <t xml:space="preserve">CRM, Google/Trustpilot, SMTP</t>
  </si>
  <si>
    <t xml:space="preserve">Online-Reputation · Mehr &amp; bessere Reviews · Prio 4.0</t>
  </si>
  <si>
    <t xml:space="preserve">Empfehlungs-Belohnungs-Loop</t>
  </si>
  <si>
    <t xml:space="preserve">Empfehlung erfolgreich konvertiert</t>
  </si>
  <si>
    <t xml:space="preserve">Beide Seiten belohnen + nächste Empfehlungs-Runde anstoßen.</t>
  </si>
  <si>
    <t xml:space="preserve">Referral-Tool, CRM</t>
  </si>
  <si>
    <t xml:space="preserve">Viraler Koeffizient · Selbstverstärkende Leads · Prio 2.0</t>
  </si>
  <si>
    <t xml:space="preserve">E-Commerce, SaaS</t>
  </si>
  <si>
    <t xml:space="preserve">Case-Study-/Testimonial-Pipeline</t>
  </si>
  <si>
    <t xml:space="preserve">Top-Kunden automatisch zur Erfolgsgeschichte einladen + erfassen.</t>
  </si>
  <si>
    <t xml:space="preserve">Social Proof / Sales-Assets · Stärkere Abschluss-Assets · Prio 3.0</t>
  </si>
  <si>
    <t xml:space="preserve">Social-Proof-Recycling → Outbound</t>
  </si>
  <si>
    <t xml:space="preserve">Neues Testimonial/Review erfasst</t>
  </si>
  <si>
    <t xml:space="preserve">Frischen Social Proof automatisch in Outbound-Sequenzen einspeisen.</t>
  </si>
  <si>
    <t xml:space="preserve">CRM, OpenAI, Sales-Tool</t>
  </si>
  <si>
    <t xml:space="preserve">Reply-/Close-Rate · Glaubwürdigeres Outbound · Prio 3.0</t>
  </si>
  <si>
    <t xml:space="preserve">B2B, Agentur</t>
  </si>
  <si>
    <t xml:space="preserve">Echtheit; Freigabe</t>
  </si>
  <si>
    <t xml:space="preserve">Partner-/Affiliate-Reaktivierung</t>
  </si>
  <si>
    <t xml:space="preserve">Partner X Tage inaktiv</t>
  </si>
  <si>
    <t xml:space="preserve">Reaktivierungs-Nudge + neue Anreize automatisch.</t>
  </si>
  <si>
    <t xml:space="preserve">CRM/PRM, SMTP</t>
  </si>
  <si>
    <t xml:space="preserve">Partner-Pipeline · Mehr Umsatz über Partner · Prio 1.5</t>
  </si>
  <si>
    <t xml:space="preserve">SaaS, B2B, Handel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</si>
</sst>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0F2A3F"/>
      <name val="Arial"/>
      <family val="0"/>
      <charset val="1"/>
    </font>
    <font>
      <i val="true"/>
      <sz val="11"/>
      <color rgb="FF1FB6A6"/>
      <name val="Arial"/>
      <family val="0"/>
      <charset val="1"/>
    </font>
    <font>
      <sz val="10"/>
      <color rgb="FF34495E"/>
      <name val="Arial"/>
      <family val="0"/>
      <charset val="1"/>
    </font>
    <font>
      <b val="true"/>
      <sz val="13"/>
      <color rgb="FF0F2A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4495E"/>
      <name val="Arial"/>
      <family val="0"/>
      <charset val="1"/>
    </font>
    <font>
      <b val="true"/>
      <sz val="11"/>
      <color rgb="FF0F2A3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F2A3F"/>
      <name val="Arial"/>
      <family val="0"/>
      <charset val="1"/>
    </font>
    <font>
      <sz val="9"/>
      <color rgb="FF2C3E5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A3F"/>
        <bgColor rgb="FF2C3E50"/>
      </patternFill>
    </fill>
    <fill>
      <patternFill patternType="solid">
        <fgColor rgb="FF8E44AD"/>
        <bgColor rgb="FF993366"/>
      </patternFill>
    </fill>
    <fill>
      <patternFill patternType="solid">
        <fgColor rgb="FF2980B9"/>
        <bgColor rgb="FF008080"/>
      </patternFill>
    </fill>
    <fill>
      <patternFill patternType="solid">
        <fgColor rgb="FF16A085"/>
        <bgColor rgb="FF1FB6A6"/>
      </patternFill>
    </fill>
    <fill>
      <patternFill patternType="solid">
        <fgColor rgb="FFEAF2F8"/>
        <bgColor rgb="FFF2F4F5"/>
      </patternFill>
    </fill>
    <fill>
      <patternFill patternType="solid">
        <fgColor rgb="FFD5F5E3"/>
        <bgColor rgb="FFEAF2F8"/>
      </patternFill>
    </fill>
    <fill>
      <patternFill patternType="solid">
        <fgColor rgb="FFF2F4F5"/>
        <bgColor rgb="FFEAF2F8"/>
      </patternFill>
    </fill>
    <fill>
      <patternFill patternType="solid">
        <fgColor rgb="FFFCF3CF"/>
        <bgColor rgb="FFF2F4F5"/>
      </patternFill>
    </fill>
    <fill>
      <patternFill patternType="solid">
        <fgColor rgb="FFFADBD8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2A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085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7F8C8D"/>
      <rgbColor rgb="FF9999FF"/>
      <rgbColor rgb="FF8E44AD"/>
      <rgbColor rgb="FFFCF3CF"/>
      <rgbColor rgb="FFEAF2F8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5"/>
      <rgbColor rgb="FFD5F5E3"/>
      <rgbColor rgb="FFFFFF99"/>
      <rgbColor rgb="FF99CCFF"/>
      <rgbColor rgb="FFFF99CC"/>
      <rgbColor rgb="FFCC99FF"/>
      <rgbColor rgb="FFFADBD8"/>
      <rgbColor rgb="FF3366FF"/>
      <rgbColor rgb="FF1FB6A6"/>
      <rgbColor rgb="FF99CC00"/>
      <rgbColor rgb="FFFFCC00"/>
      <rgbColor rgb="FFFF9900"/>
      <rgbColor rgb="FFFF6600"/>
      <rgbColor rgb="FF666699"/>
      <rgbColor rgb="FF969696"/>
      <rgbColor rgb="FF0F2A3F"/>
      <rgbColor rgb="FF16A085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</cols>
  <sheetData>
    <row r="2" customFormat="false" ht="23.2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3"/>
      <c r="C6" s="3"/>
      <c r="D6" s="3"/>
      <c r="E6" s="3"/>
      <c r="F6" s="3"/>
    </row>
    <row r="8" customFormat="false" ht="16.15" hidden="false" customHeight="false" outlineLevel="0" collapsed="false">
      <c r="B8" s="4" t="s">
        <v>3</v>
      </c>
      <c r="E8" s="4" t="s">
        <v>4</v>
      </c>
    </row>
    <row r="9" customFormat="false" ht="15" hidden="false" customHeight="false" outlineLevel="0" collapsed="false">
      <c r="B9" s="5" t="s">
        <v>5</v>
      </c>
      <c r="C9" s="5" t="s">
        <v>6</v>
      </c>
      <c r="E9" s="5" t="s">
        <v>7</v>
      </c>
      <c r="F9" s="5" t="s">
        <v>6</v>
      </c>
    </row>
    <row r="10" customFormat="false" ht="15" hidden="false" customHeight="false" outlineLevel="0" collapsed="false">
      <c r="B10" s="6" t="s">
        <v>8</v>
      </c>
      <c r="C10" s="7" t="n">
        <f aca="false">COUNTIF(Master!B:B,"Kundenerlebnis")</f>
        <v>41</v>
      </c>
      <c r="E10" s="8" t="s">
        <v>9</v>
      </c>
      <c r="F10" s="7" t="n">
        <f aca="false">COUNTIF(Master!D:D,"Telefon &amp; Empfang")</f>
        <v>7</v>
      </c>
    </row>
    <row r="11" customFormat="false" ht="15" hidden="false" customHeight="false" outlineLevel="0" collapsed="false">
      <c r="B11" s="9" t="s">
        <v>10</v>
      </c>
      <c r="C11" s="7" t="n">
        <f aca="false">COUNTIF(Master!B:B,"Effizienz")</f>
        <v>42</v>
      </c>
      <c r="E11" s="8" t="s">
        <v>11</v>
      </c>
      <c r="F11" s="7" t="n">
        <f aca="false">COUNTIF(Master!D:D,"Termine vereinbaren")</f>
        <v>8</v>
      </c>
    </row>
    <row r="12" customFormat="false" ht="15" hidden="false" customHeight="false" outlineLevel="0" collapsed="false">
      <c r="B12" s="10" t="s">
        <v>12</v>
      </c>
      <c r="C12" s="7" t="n">
        <f aca="false">COUNTIF(Master!B:B,"Wachstumsmotor")</f>
        <v>39</v>
      </c>
      <c r="E12" s="8" t="s">
        <v>13</v>
      </c>
      <c r="F12" s="7" t="n">
        <f aca="false">COUNTIF(Master!D:D,"Büro &amp; Verwaltung")</f>
        <v>15</v>
      </c>
    </row>
    <row r="13" customFormat="false" ht="15" hidden="false" customHeight="false" outlineLevel="0" collapsed="false">
      <c r="B13" s="11" t="s">
        <v>14</v>
      </c>
      <c r="C13" s="12" t="n">
        <f aca="false">SUM(C10:C12)</f>
        <v>122</v>
      </c>
      <c r="E13" s="8" t="s">
        <v>15</v>
      </c>
      <c r="F13" s="7" t="n">
        <f aca="false">COUNTIF(Master!D:D,"Buchhaltung &amp; Rechnungen")</f>
        <v>9</v>
      </c>
    </row>
    <row r="14" customFormat="false" ht="15" hidden="false" customHeight="false" outlineLevel="0" collapsed="false">
      <c r="E14" s="8" t="s">
        <v>16</v>
      </c>
      <c r="F14" s="7" t="n">
        <f aca="false">COUNTIF(Master!D:D,"Kundengewinnung")</f>
        <v>6</v>
      </c>
    </row>
    <row r="15" customFormat="false" ht="15" hidden="false" customHeight="false" outlineLevel="0" collapsed="false">
      <c r="E15" s="8" t="s">
        <v>17</v>
      </c>
      <c r="F15" s="7" t="n">
        <f aca="false">COUNTIF(Master!D:D,"Anfragen bearbeiten")</f>
        <v>7</v>
      </c>
    </row>
    <row r="16" customFormat="false" ht="15" hidden="false" customHeight="false" outlineLevel="0" collapsed="false">
      <c r="E16" s="8" t="s">
        <v>18</v>
      </c>
      <c r="F16" s="7" t="n">
        <f aca="false">COUNTIF(Master!D:D,"Angebote &amp; Abschluss")</f>
        <v>11</v>
      </c>
    </row>
    <row r="17" customFormat="false" ht="15" hidden="false" customHeight="false" outlineLevel="0" collapsed="false">
      <c r="E17" s="8" t="s">
        <v>19</v>
      </c>
      <c r="F17" s="7" t="n">
        <f aca="false">COUNTIF(Master!D:D,"Kundenbetreuung")</f>
        <v>20</v>
      </c>
    </row>
    <row r="18" customFormat="false" ht="15" hidden="false" customHeight="false" outlineLevel="0" collapsed="false">
      <c r="E18" s="8" t="s">
        <v>20</v>
      </c>
      <c r="F18" s="7" t="n">
        <f aca="false">COUNTIF(Master!D:D,"Kundenbindung &amp; Verlängerung")</f>
        <v>16</v>
      </c>
    </row>
    <row r="19" customFormat="false" ht="15" hidden="false" customHeight="false" outlineLevel="0" collapsed="false">
      <c r="E19" s="8" t="s">
        <v>21</v>
      </c>
      <c r="F19" s="7" t="n">
        <f aca="false">COUNTIF(Master!D:D,"Empfehlungen &amp; Bewertungen")</f>
        <v>14</v>
      </c>
    </row>
    <row r="20" customFormat="false" ht="15" hidden="false" customHeight="false" outlineLevel="0" collapsed="false">
      <c r="E20" s="8" t="s">
        <v>22</v>
      </c>
      <c r="F20" s="7" t="n">
        <f aca="false">COUNTIF(Master!D:D,"Marketing &amp; Inhalte")</f>
        <v>5</v>
      </c>
    </row>
    <row r="21" customFormat="false" ht="15" hidden="false" customHeight="false" outlineLevel="0" collapsed="false">
      <c r="E21" s="8" t="s">
        <v>23</v>
      </c>
      <c r="F21" s="7" t="n">
        <f aca="false">COUNTIF(Master!D:D,"Personal &amp; Einstellung")</f>
        <v>4</v>
      </c>
    </row>
    <row r="23" customFormat="false" ht="15" hidden="false" customHeight="true" outlineLevel="0" collapsed="false">
      <c r="B23" s="13" t="s">
        <v>24</v>
      </c>
      <c r="C23" s="13"/>
      <c r="D23" s="13"/>
      <c r="E23" s="13"/>
      <c r="F23" s="13"/>
    </row>
    <row r="24" customFormat="false" ht="15" hidden="false" customHeight="false" outlineLevel="0" collapsed="false">
      <c r="B24" s="13"/>
      <c r="C24" s="13"/>
      <c r="D24" s="13"/>
      <c r="E24" s="13"/>
      <c r="F24" s="13"/>
    </row>
  </sheetData>
  <mergeCells count="3">
    <mergeCell ref="B3:F3"/>
    <mergeCell ref="B5:F6"/>
    <mergeCell ref="B23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6" min="5" style="0" width="30"/>
    <col collapsed="false" customWidth="true" hidden="false" outlineLevel="0" max="7" min="7" style="0" width="46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2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4" t="s">
        <v>25</v>
      </c>
      <c r="B1" s="14" t="s">
        <v>5</v>
      </c>
      <c r="C1" s="14" t="s">
        <v>26</v>
      </c>
      <c r="D1" s="14" t="s">
        <v>7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</row>
    <row r="2" customFormat="false" ht="22.35" hidden="false" customHeight="false" outlineLevel="0" collapsed="false">
      <c r="A2" s="15" t="n">
        <v>1</v>
      </c>
      <c r="B2" s="16" t="s">
        <v>8</v>
      </c>
      <c r="C2" s="17" t="s">
        <v>35</v>
      </c>
      <c r="D2" s="18" t="s">
        <v>19</v>
      </c>
      <c r="E2" s="17" t="s">
        <v>36</v>
      </c>
      <c r="F2" s="17" t="s">
        <v>37</v>
      </c>
      <c r="G2" s="17" t="s">
        <v>38</v>
      </c>
      <c r="H2" s="17" t="s">
        <v>39</v>
      </c>
      <c r="I2" s="19" t="s">
        <v>40</v>
      </c>
      <c r="J2" s="17" t="s">
        <v>41</v>
      </c>
      <c r="K2" s="17" t="s">
        <v>42</v>
      </c>
      <c r="L2" s="17" t="s">
        <v>43</v>
      </c>
    </row>
    <row r="3" customFormat="false" ht="22.35" hidden="false" customHeight="false" outlineLevel="0" collapsed="false">
      <c r="A3" s="15" t="n">
        <v>2</v>
      </c>
      <c r="B3" s="16" t="s">
        <v>8</v>
      </c>
      <c r="C3" s="20" t="s">
        <v>35</v>
      </c>
      <c r="D3" s="18" t="s">
        <v>19</v>
      </c>
      <c r="E3" s="20" t="s">
        <v>44</v>
      </c>
      <c r="F3" s="20" t="s">
        <v>45</v>
      </c>
      <c r="G3" s="20" t="s">
        <v>46</v>
      </c>
      <c r="H3" s="20" t="s">
        <v>47</v>
      </c>
      <c r="I3" s="21" t="s">
        <v>48</v>
      </c>
      <c r="J3" s="20" t="s">
        <v>49</v>
      </c>
      <c r="K3" s="20" t="s">
        <v>42</v>
      </c>
      <c r="L3" s="20" t="s">
        <v>50</v>
      </c>
    </row>
    <row r="4" customFormat="false" ht="22.35" hidden="false" customHeight="false" outlineLevel="0" collapsed="false">
      <c r="A4" s="15" t="n">
        <v>3</v>
      </c>
      <c r="B4" s="16" t="s">
        <v>8</v>
      </c>
      <c r="C4" s="17" t="s">
        <v>35</v>
      </c>
      <c r="D4" s="18" t="s">
        <v>11</v>
      </c>
      <c r="E4" s="17" t="s">
        <v>51</v>
      </c>
      <c r="F4" s="17" t="s">
        <v>52</v>
      </c>
      <c r="G4" s="17" t="s">
        <v>53</v>
      </c>
      <c r="H4" s="17" t="s">
        <v>54</v>
      </c>
      <c r="I4" s="19" t="s">
        <v>40</v>
      </c>
      <c r="J4" s="17" t="s">
        <v>55</v>
      </c>
      <c r="K4" s="17" t="s">
        <v>56</v>
      </c>
      <c r="L4" s="17" t="s">
        <v>57</v>
      </c>
    </row>
    <row r="5" customFormat="false" ht="22.35" hidden="false" customHeight="false" outlineLevel="0" collapsed="false">
      <c r="A5" s="15" t="n">
        <v>4</v>
      </c>
      <c r="B5" s="16" t="s">
        <v>8</v>
      </c>
      <c r="C5" s="20" t="s">
        <v>35</v>
      </c>
      <c r="D5" s="18" t="s">
        <v>11</v>
      </c>
      <c r="E5" s="20" t="s">
        <v>58</v>
      </c>
      <c r="F5" s="20" t="s">
        <v>59</v>
      </c>
      <c r="G5" s="20" t="s">
        <v>60</v>
      </c>
      <c r="H5" s="20" t="s">
        <v>61</v>
      </c>
      <c r="I5" s="19" t="s">
        <v>40</v>
      </c>
      <c r="J5" s="20" t="s">
        <v>62</v>
      </c>
      <c r="K5" s="20" t="s">
        <v>63</v>
      </c>
      <c r="L5" s="20" t="s">
        <v>50</v>
      </c>
    </row>
    <row r="6" customFormat="false" ht="22.35" hidden="false" customHeight="false" outlineLevel="0" collapsed="false">
      <c r="A6" s="15" t="n">
        <v>5</v>
      </c>
      <c r="B6" s="16" t="s">
        <v>8</v>
      </c>
      <c r="C6" s="17" t="s">
        <v>35</v>
      </c>
      <c r="D6" s="18" t="s">
        <v>19</v>
      </c>
      <c r="E6" s="17" t="s">
        <v>64</v>
      </c>
      <c r="F6" s="17" t="s">
        <v>65</v>
      </c>
      <c r="G6" s="17" t="s">
        <v>66</v>
      </c>
      <c r="H6" s="17" t="s">
        <v>67</v>
      </c>
      <c r="I6" s="21" t="s">
        <v>48</v>
      </c>
      <c r="J6" s="17" t="s">
        <v>68</v>
      </c>
      <c r="K6" s="17" t="s">
        <v>69</v>
      </c>
      <c r="L6" s="17" t="s">
        <v>70</v>
      </c>
    </row>
    <row r="7" customFormat="false" ht="22.35" hidden="false" customHeight="false" outlineLevel="0" collapsed="false">
      <c r="A7" s="15" t="n">
        <v>6</v>
      </c>
      <c r="B7" s="16" t="s">
        <v>8</v>
      </c>
      <c r="C7" s="20" t="s">
        <v>35</v>
      </c>
      <c r="D7" s="18" t="s">
        <v>17</v>
      </c>
      <c r="E7" s="20" t="s">
        <v>71</v>
      </c>
      <c r="F7" s="20" t="s">
        <v>72</v>
      </c>
      <c r="G7" s="20" t="s">
        <v>73</v>
      </c>
      <c r="H7" s="20" t="s">
        <v>74</v>
      </c>
      <c r="I7" s="21" t="s">
        <v>48</v>
      </c>
      <c r="J7" s="20" t="s">
        <v>75</v>
      </c>
      <c r="K7" s="20" t="s">
        <v>76</v>
      </c>
      <c r="L7" s="20" t="s">
        <v>77</v>
      </c>
    </row>
    <row r="8" customFormat="false" ht="22.35" hidden="false" customHeight="false" outlineLevel="0" collapsed="false">
      <c r="A8" s="15" t="n">
        <v>7</v>
      </c>
      <c r="B8" s="16" t="s">
        <v>8</v>
      </c>
      <c r="C8" s="17" t="s">
        <v>35</v>
      </c>
      <c r="D8" s="18" t="s">
        <v>17</v>
      </c>
      <c r="E8" s="17" t="s">
        <v>78</v>
      </c>
      <c r="F8" s="17" t="s">
        <v>79</v>
      </c>
      <c r="G8" s="17" t="s">
        <v>80</v>
      </c>
      <c r="H8" s="17" t="s">
        <v>81</v>
      </c>
      <c r="I8" s="21" t="s">
        <v>48</v>
      </c>
      <c r="J8" s="17" t="s">
        <v>82</v>
      </c>
      <c r="K8" s="17" t="s">
        <v>42</v>
      </c>
      <c r="L8" s="17" t="s">
        <v>83</v>
      </c>
    </row>
    <row r="9" customFormat="false" ht="22.35" hidden="false" customHeight="false" outlineLevel="0" collapsed="false">
      <c r="A9" s="15" t="n">
        <v>8</v>
      </c>
      <c r="B9" s="16" t="s">
        <v>8</v>
      </c>
      <c r="C9" s="20" t="s">
        <v>35</v>
      </c>
      <c r="D9" s="18" t="s">
        <v>9</v>
      </c>
      <c r="E9" s="20" t="s">
        <v>84</v>
      </c>
      <c r="F9" s="20" t="s">
        <v>85</v>
      </c>
      <c r="G9" s="20" t="s">
        <v>86</v>
      </c>
      <c r="H9" s="20" t="s">
        <v>87</v>
      </c>
      <c r="I9" s="19" t="s">
        <v>40</v>
      </c>
      <c r="J9" s="20" t="s">
        <v>88</v>
      </c>
      <c r="K9" s="20" t="s">
        <v>89</v>
      </c>
      <c r="L9" s="20" t="s">
        <v>57</v>
      </c>
    </row>
    <row r="10" customFormat="false" ht="22.35" hidden="false" customHeight="false" outlineLevel="0" collapsed="false">
      <c r="A10" s="15" t="n">
        <v>9</v>
      </c>
      <c r="B10" s="16" t="s">
        <v>8</v>
      </c>
      <c r="C10" s="17" t="s">
        <v>35</v>
      </c>
      <c r="D10" s="18" t="s">
        <v>19</v>
      </c>
      <c r="E10" s="17" t="s">
        <v>90</v>
      </c>
      <c r="F10" s="17" t="s">
        <v>91</v>
      </c>
      <c r="G10" s="17" t="s">
        <v>92</v>
      </c>
      <c r="H10" s="17" t="s">
        <v>93</v>
      </c>
      <c r="I10" s="19" t="s">
        <v>40</v>
      </c>
      <c r="J10" s="17" t="s">
        <v>94</v>
      </c>
      <c r="K10" s="17" t="s">
        <v>95</v>
      </c>
      <c r="L10" s="17" t="s">
        <v>96</v>
      </c>
    </row>
    <row r="11" customFormat="false" ht="22.35" hidden="false" customHeight="false" outlineLevel="0" collapsed="false">
      <c r="A11" s="15" t="n">
        <v>10</v>
      </c>
      <c r="B11" s="16" t="s">
        <v>8</v>
      </c>
      <c r="C11" s="20" t="s">
        <v>35</v>
      </c>
      <c r="D11" s="18" t="s">
        <v>19</v>
      </c>
      <c r="E11" s="20" t="s">
        <v>97</v>
      </c>
      <c r="F11" s="20" t="s">
        <v>98</v>
      </c>
      <c r="G11" s="20" t="s">
        <v>99</v>
      </c>
      <c r="H11" s="20" t="s">
        <v>100</v>
      </c>
      <c r="I11" s="19" t="s">
        <v>40</v>
      </c>
      <c r="J11" s="20" t="s">
        <v>101</v>
      </c>
      <c r="K11" s="20" t="s">
        <v>102</v>
      </c>
      <c r="L11" s="20" t="s">
        <v>50</v>
      </c>
    </row>
    <row r="12" customFormat="false" ht="22.35" hidden="false" customHeight="false" outlineLevel="0" collapsed="false">
      <c r="A12" s="15" t="n">
        <v>11</v>
      </c>
      <c r="B12" s="16" t="s">
        <v>8</v>
      </c>
      <c r="C12" s="17" t="s">
        <v>103</v>
      </c>
      <c r="D12" s="18" t="s">
        <v>20</v>
      </c>
      <c r="E12" s="17" t="s">
        <v>104</v>
      </c>
      <c r="F12" s="17" t="s">
        <v>105</v>
      </c>
      <c r="G12" s="17" t="s">
        <v>106</v>
      </c>
      <c r="H12" s="17" t="s">
        <v>107</v>
      </c>
      <c r="I12" s="19" t="s">
        <v>40</v>
      </c>
      <c r="J12" s="17" t="s">
        <v>108</v>
      </c>
      <c r="K12" s="17" t="s">
        <v>109</v>
      </c>
      <c r="L12" s="17" t="s">
        <v>110</v>
      </c>
    </row>
    <row r="13" customFormat="false" ht="22.35" hidden="false" customHeight="false" outlineLevel="0" collapsed="false">
      <c r="A13" s="15" t="n">
        <v>12</v>
      </c>
      <c r="B13" s="16" t="s">
        <v>8</v>
      </c>
      <c r="C13" s="20" t="s">
        <v>103</v>
      </c>
      <c r="D13" s="18" t="s">
        <v>20</v>
      </c>
      <c r="E13" s="20" t="s">
        <v>111</v>
      </c>
      <c r="F13" s="20" t="s">
        <v>112</v>
      </c>
      <c r="G13" s="20" t="s">
        <v>113</v>
      </c>
      <c r="H13" s="20" t="s">
        <v>114</v>
      </c>
      <c r="I13" s="22" t="s">
        <v>115</v>
      </c>
      <c r="J13" s="20" t="s">
        <v>116</v>
      </c>
      <c r="K13" s="20" t="s">
        <v>117</v>
      </c>
      <c r="L13" s="20" t="s">
        <v>50</v>
      </c>
    </row>
    <row r="14" customFormat="false" ht="22.35" hidden="false" customHeight="false" outlineLevel="0" collapsed="false">
      <c r="A14" s="15" t="n">
        <v>13</v>
      </c>
      <c r="B14" s="16" t="s">
        <v>8</v>
      </c>
      <c r="C14" s="17" t="s">
        <v>103</v>
      </c>
      <c r="D14" s="18" t="s">
        <v>20</v>
      </c>
      <c r="E14" s="17" t="s">
        <v>118</v>
      </c>
      <c r="F14" s="17" t="s">
        <v>119</v>
      </c>
      <c r="G14" s="17" t="s">
        <v>120</v>
      </c>
      <c r="H14" s="17" t="s">
        <v>121</v>
      </c>
      <c r="I14" s="19" t="s">
        <v>40</v>
      </c>
      <c r="J14" s="17" t="s">
        <v>122</v>
      </c>
      <c r="K14" s="17" t="s">
        <v>42</v>
      </c>
      <c r="L14" s="17" t="s">
        <v>123</v>
      </c>
    </row>
    <row r="15" customFormat="false" ht="22.35" hidden="false" customHeight="false" outlineLevel="0" collapsed="false">
      <c r="A15" s="15" t="n">
        <v>14</v>
      </c>
      <c r="B15" s="16" t="s">
        <v>8</v>
      </c>
      <c r="C15" s="20" t="s">
        <v>103</v>
      </c>
      <c r="D15" s="18" t="s">
        <v>20</v>
      </c>
      <c r="E15" s="20" t="s">
        <v>124</v>
      </c>
      <c r="F15" s="20" t="s">
        <v>125</v>
      </c>
      <c r="G15" s="20" t="s">
        <v>126</v>
      </c>
      <c r="H15" s="20" t="s">
        <v>127</v>
      </c>
      <c r="I15" s="19" t="s">
        <v>40</v>
      </c>
      <c r="J15" s="20" t="s">
        <v>128</v>
      </c>
      <c r="K15" s="20" t="s">
        <v>129</v>
      </c>
      <c r="L15" s="20" t="s">
        <v>110</v>
      </c>
    </row>
    <row r="16" customFormat="false" ht="22.35" hidden="false" customHeight="false" outlineLevel="0" collapsed="false">
      <c r="A16" s="15" t="n">
        <v>15</v>
      </c>
      <c r="B16" s="16" t="s">
        <v>8</v>
      </c>
      <c r="C16" s="17" t="s">
        <v>103</v>
      </c>
      <c r="D16" s="18" t="s">
        <v>20</v>
      </c>
      <c r="E16" s="17" t="s">
        <v>130</v>
      </c>
      <c r="F16" s="17" t="s">
        <v>131</v>
      </c>
      <c r="G16" s="17" t="s">
        <v>132</v>
      </c>
      <c r="H16" s="17" t="s">
        <v>133</v>
      </c>
      <c r="I16" s="21" t="s">
        <v>48</v>
      </c>
      <c r="J16" s="17" t="s">
        <v>134</v>
      </c>
      <c r="K16" s="17" t="s">
        <v>135</v>
      </c>
      <c r="L16" s="17" t="s">
        <v>136</v>
      </c>
    </row>
    <row r="17" customFormat="false" ht="22.35" hidden="false" customHeight="false" outlineLevel="0" collapsed="false">
      <c r="A17" s="15" t="n">
        <v>16</v>
      </c>
      <c r="B17" s="16" t="s">
        <v>8</v>
      </c>
      <c r="C17" s="20" t="s">
        <v>103</v>
      </c>
      <c r="D17" s="18" t="s">
        <v>20</v>
      </c>
      <c r="E17" s="20" t="s">
        <v>137</v>
      </c>
      <c r="F17" s="20" t="s">
        <v>138</v>
      </c>
      <c r="G17" s="20" t="s">
        <v>139</v>
      </c>
      <c r="H17" s="20" t="s">
        <v>140</v>
      </c>
      <c r="I17" s="19" t="s">
        <v>40</v>
      </c>
      <c r="J17" s="20" t="s">
        <v>141</v>
      </c>
      <c r="K17" s="20" t="s">
        <v>142</v>
      </c>
      <c r="L17" s="20" t="s">
        <v>50</v>
      </c>
    </row>
    <row r="18" customFormat="false" ht="22.35" hidden="false" customHeight="false" outlineLevel="0" collapsed="false">
      <c r="A18" s="15" t="n">
        <v>17</v>
      </c>
      <c r="B18" s="16" t="s">
        <v>8</v>
      </c>
      <c r="C18" s="17" t="s">
        <v>103</v>
      </c>
      <c r="D18" s="18" t="s">
        <v>21</v>
      </c>
      <c r="E18" s="17" t="s">
        <v>143</v>
      </c>
      <c r="F18" s="17" t="s">
        <v>144</v>
      </c>
      <c r="G18" s="17" t="s">
        <v>145</v>
      </c>
      <c r="H18" s="17" t="s">
        <v>146</v>
      </c>
      <c r="I18" s="21" t="s">
        <v>48</v>
      </c>
      <c r="J18" s="17" t="s">
        <v>147</v>
      </c>
      <c r="K18" s="17" t="s">
        <v>148</v>
      </c>
      <c r="L18" s="17" t="s">
        <v>50</v>
      </c>
    </row>
    <row r="19" customFormat="false" ht="22.35" hidden="false" customHeight="false" outlineLevel="0" collapsed="false">
      <c r="A19" s="15" t="n">
        <v>18</v>
      </c>
      <c r="B19" s="16" t="s">
        <v>8</v>
      </c>
      <c r="C19" s="20" t="s">
        <v>103</v>
      </c>
      <c r="D19" s="18" t="s">
        <v>20</v>
      </c>
      <c r="E19" s="20" t="s">
        <v>149</v>
      </c>
      <c r="F19" s="20" t="s">
        <v>150</v>
      </c>
      <c r="G19" s="20" t="s">
        <v>151</v>
      </c>
      <c r="H19" s="20" t="s">
        <v>152</v>
      </c>
      <c r="I19" s="21" t="s">
        <v>48</v>
      </c>
      <c r="J19" s="20" t="s">
        <v>153</v>
      </c>
      <c r="K19" s="20" t="s">
        <v>154</v>
      </c>
      <c r="L19" s="20" t="s">
        <v>110</v>
      </c>
    </row>
    <row r="20" customFormat="false" ht="22.35" hidden="false" customHeight="false" outlineLevel="0" collapsed="false">
      <c r="A20" s="15" t="n">
        <v>19</v>
      </c>
      <c r="B20" s="16" t="s">
        <v>8</v>
      </c>
      <c r="C20" s="17" t="s">
        <v>103</v>
      </c>
      <c r="D20" s="18" t="s">
        <v>20</v>
      </c>
      <c r="E20" s="17" t="s">
        <v>155</v>
      </c>
      <c r="F20" s="17" t="s">
        <v>156</v>
      </c>
      <c r="G20" s="17" t="s">
        <v>157</v>
      </c>
      <c r="H20" s="17" t="s">
        <v>158</v>
      </c>
      <c r="I20" s="21" t="s">
        <v>48</v>
      </c>
      <c r="J20" s="17" t="s">
        <v>159</v>
      </c>
      <c r="K20" s="17" t="s">
        <v>160</v>
      </c>
      <c r="L20" s="17" t="s">
        <v>161</v>
      </c>
    </row>
    <row r="21" customFormat="false" ht="22.35" hidden="false" customHeight="false" outlineLevel="0" collapsed="false">
      <c r="A21" s="15" t="n">
        <v>20</v>
      </c>
      <c r="B21" s="16" t="s">
        <v>8</v>
      </c>
      <c r="C21" s="20" t="s">
        <v>103</v>
      </c>
      <c r="D21" s="18" t="s">
        <v>20</v>
      </c>
      <c r="E21" s="20" t="s">
        <v>162</v>
      </c>
      <c r="F21" s="20" t="s">
        <v>163</v>
      </c>
      <c r="G21" s="20" t="s">
        <v>164</v>
      </c>
      <c r="H21" s="20" t="s">
        <v>165</v>
      </c>
      <c r="I21" s="21" t="s">
        <v>48</v>
      </c>
      <c r="J21" s="20" t="s">
        <v>166</v>
      </c>
      <c r="K21" s="20" t="s">
        <v>167</v>
      </c>
      <c r="L21" s="20" t="s">
        <v>168</v>
      </c>
    </row>
    <row r="22" customFormat="false" ht="22.35" hidden="false" customHeight="false" outlineLevel="0" collapsed="false">
      <c r="A22" s="15" t="n">
        <v>21</v>
      </c>
      <c r="B22" s="16" t="s">
        <v>8</v>
      </c>
      <c r="C22" s="17" t="s">
        <v>103</v>
      </c>
      <c r="D22" s="18" t="s">
        <v>20</v>
      </c>
      <c r="E22" s="17" t="s">
        <v>169</v>
      </c>
      <c r="F22" s="17" t="s">
        <v>170</v>
      </c>
      <c r="G22" s="17" t="s">
        <v>171</v>
      </c>
      <c r="H22" s="17" t="s">
        <v>107</v>
      </c>
      <c r="I22" s="19" t="s">
        <v>40</v>
      </c>
      <c r="J22" s="17" t="s">
        <v>172</v>
      </c>
      <c r="K22" s="17" t="s">
        <v>173</v>
      </c>
      <c r="L22" s="17" t="s">
        <v>50</v>
      </c>
    </row>
    <row r="23" customFormat="false" ht="22.35" hidden="false" customHeight="false" outlineLevel="0" collapsed="false">
      <c r="A23" s="15" t="n">
        <v>22</v>
      </c>
      <c r="B23" s="16" t="s">
        <v>8</v>
      </c>
      <c r="C23" s="20" t="s">
        <v>174</v>
      </c>
      <c r="D23" s="18" t="s">
        <v>19</v>
      </c>
      <c r="E23" s="20" t="s">
        <v>175</v>
      </c>
      <c r="F23" s="20" t="s">
        <v>176</v>
      </c>
      <c r="G23" s="20" t="s">
        <v>177</v>
      </c>
      <c r="H23" s="20" t="s">
        <v>93</v>
      </c>
      <c r="I23" s="19" t="s">
        <v>40</v>
      </c>
      <c r="J23" s="20" t="s">
        <v>178</v>
      </c>
      <c r="K23" s="20" t="s">
        <v>179</v>
      </c>
      <c r="L23" s="20" t="s">
        <v>180</v>
      </c>
    </row>
    <row r="24" customFormat="false" ht="22.35" hidden="false" customHeight="false" outlineLevel="0" collapsed="false">
      <c r="A24" s="15" t="n">
        <v>23</v>
      </c>
      <c r="B24" s="16" t="s">
        <v>8</v>
      </c>
      <c r="C24" s="17" t="s">
        <v>174</v>
      </c>
      <c r="D24" s="18" t="s">
        <v>19</v>
      </c>
      <c r="E24" s="17" t="s">
        <v>181</v>
      </c>
      <c r="F24" s="17" t="s">
        <v>182</v>
      </c>
      <c r="G24" s="17" t="s">
        <v>183</v>
      </c>
      <c r="H24" s="17" t="s">
        <v>184</v>
      </c>
      <c r="I24" s="19" t="s">
        <v>40</v>
      </c>
      <c r="J24" s="17" t="s">
        <v>185</v>
      </c>
      <c r="K24" s="17" t="s">
        <v>186</v>
      </c>
      <c r="L24" s="17" t="s">
        <v>50</v>
      </c>
    </row>
    <row r="25" customFormat="false" ht="22.35" hidden="false" customHeight="false" outlineLevel="0" collapsed="false">
      <c r="A25" s="15" t="n">
        <v>24</v>
      </c>
      <c r="B25" s="16" t="s">
        <v>8</v>
      </c>
      <c r="C25" s="20" t="s">
        <v>174</v>
      </c>
      <c r="D25" s="18" t="s">
        <v>19</v>
      </c>
      <c r="E25" s="20" t="s">
        <v>187</v>
      </c>
      <c r="F25" s="20" t="s">
        <v>188</v>
      </c>
      <c r="G25" s="20" t="s">
        <v>189</v>
      </c>
      <c r="H25" s="20" t="s">
        <v>190</v>
      </c>
      <c r="I25" s="21" t="s">
        <v>48</v>
      </c>
      <c r="J25" s="20" t="s">
        <v>191</v>
      </c>
      <c r="K25" s="20" t="s">
        <v>192</v>
      </c>
      <c r="L25" s="20" t="s">
        <v>50</v>
      </c>
    </row>
    <row r="26" customFormat="false" ht="15" hidden="false" customHeight="false" outlineLevel="0" collapsed="false">
      <c r="A26" s="15" t="n">
        <v>25</v>
      </c>
      <c r="B26" s="16" t="s">
        <v>8</v>
      </c>
      <c r="C26" s="17" t="s">
        <v>174</v>
      </c>
      <c r="D26" s="18" t="s">
        <v>19</v>
      </c>
      <c r="E26" s="17" t="s">
        <v>193</v>
      </c>
      <c r="F26" s="17" t="s">
        <v>194</v>
      </c>
      <c r="G26" s="17" t="s">
        <v>195</v>
      </c>
      <c r="H26" s="17" t="s">
        <v>196</v>
      </c>
      <c r="I26" s="21" t="s">
        <v>48</v>
      </c>
      <c r="J26" s="17" t="s">
        <v>197</v>
      </c>
      <c r="K26" s="17" t="s">
        <v>198</v>
      </c>
      <c r="L26" s="17" t="s">
        <v>50</v>
      </c>
    </row>
    <row r="27" customFormat="false" ht="22.35" hidden="false" customHeight="false" outlineLevel="0" collapsed="false">
      <c r="A27" s="15" t="n">
        <v>26</v>
      </c>
      <c r="B27" s="16" t="s">
        <v>8</v>
      </c>
      <c r="C27" s="20" t="s">
        <v>174</v>
      </c>
      <c r="D27" s="18" t="s">
        <v>19</v>
      </c>
      <c r="E27" s="20" t="s">
        <v>199</v>
      </c>
      <c r="F27" s="20" t="s">
        <v>200</v>
      </c>
      <c r="G27" s="20" t="s">
        <v>201</v>
      </c>
      <c r="H27" s="20" t="s">
        <v>202</v>
      </c>
      <c r="I27" s="22" t="s">
        <v>115</v>
      </c>
      <c r="J27" s="20" t="s">
        <v>203</v>
      </c>
      <c r="K27" s="20" t="s">
        <v>204</v>
      </c>
      <c r="L27" s="20" t="s">
        <v>205</v>
      </c>
    </row>
    <row r="28" customFormat="false" ht="22.35" hidden="false" customHeight="false" outlineLevel="0" collapsed="false">
      <c r="A28" s="15" t="n">
        <v>27</v>
      </c>
      <c r="B28" s="16" t="s">
        <v>8</v>
      </c>
      <c r="C28" s="17" t="s">
        <v>174</v>
      </c>
      <c r="D28" s="18" t="s">
        <v>19</v>
      </c>
      <c r="E28" s="17" t="s">
        <v>206</v>
      </c>
      <c r="F28" s="17" t="s">
        <v>207</v>
      </c>
      <c r="G28" s="17" t="s">
        <v>208</v>
      </c>
      <c r="H28" s="17" t="s">
        <v>209</v>
      </c>
      <c r="I28" s="21" t="s">
        <v>48</v>
      </c>
      <c r="J28" s="17" t="s">
        <v>210</v>
      </c>
      <c r="K28" s="17" t="s">
        <v>211</v>
      </c>
      <c r="L28" s="17" t="s">
        <v>50</v>
      </c>
    </row>
    <row r="29" customFormat="false" ht="15" hidden="false" customHeight="false" outlineLevel="0" collapsed="false">
      <c r="A29" s="15" t="n">
        <v>28</v>
      </c>
      <c r="B29" s="16" t="s">
        <v>8</v>
      </c>
      <c r="C29" s="20" t="s">
        <v>174</v>
      </c>
      <c r="D29" s="18" t="s">
        <v>21</v>
      </c>
      <c r="E29" s="20" t="s">
        <v>212</v>
      </c>
      <c r="F29" s="20" t="s">
        <v>213</v>
      </c>
      <c r="G29" s="20" t="s">
        <v>214</v>
      </c>
      <c r="H29" s="20" t="s">
        <v>215</v>
      </c>
      <c r="I29" s="21" t="s">
        <v>48</v>
      </c>
      <c r="J29" s="20" t="s">
        <v>216</v>
      </c>
      <c r="K29" s="20" t="s">
        <v>217</v>
      </c>
      <c r="L29" s="20" t="s">
        <v>218</v>
      </c>
    </row>
    <row r="30" customFormat="false" ht="15" hidden="false" customHeight="false" outlineLevel="0" collapsed="false">
      <c r="A30" s="15" t="n">
        <v>29</v>
      </c>
      <c r="B30" s="16" t="s">
        <v>8</v>
      </c>
      <c r="C30" s="17" t="s">
        <v>174</v>
      </c>
      <c r="D30" s="18" t="s">
        <v>19</v>
      </c>
      <c r="E30" s="17" t="s">
        <v>219</v>
      </c>
      <c r="F30" s="17" t="s">
        <v>220</v>
      </c>
      <c r="G30" s="17" t="s">
        <v>221</v>
      </c>
      <c r="H30" s="17" t="s">
        <v>222</v>
      </c>
      <c r="I30" s="19" t="s">
        <v>40</v>
      </c>
      <c r="J30" s="17" t="s">
        <v>223</v>
      </c>
      <c r="K30" s="17" t="s">
        <v>224</v>
      </c>
      <c r="L30" s="17" t="s">
        <v>50</v>
      </c>
    </row>
    <row r="31" customFormat="false" ht="22.35" hidden="false" customHeight="false" outlineLevel="0" collapsed="false">
      <c r="A31" s="15" t="n">
        <v>30</v>
      </c>
      <c r="B31" s="16" t="s">
        <v>8</v>
      </c>
      <c r="C31" s="20" t="s">
        <v>174</v>
      </c>
      <c r="D31" s="18" t="s">
        <v>19</v>
      </c>
      <c r="E31" s="20" t="s">
        <v>225</v>
      </c>
      <c r="F31" s="20" t="s">
        <v>226</v>
      </c>
      <c r="G31" s="20" t="s">
        <v>227</v>
      </c>
      <c r="H31" s="20" t="s">
        <v>228</v>
      </c>
      <c r="I31" s="21" t="s">
        <v>48</v>
      </c>
      <c r="J31" s="20" t="s">
        <v>229</v>
      </c>
      <c r="K31" s="20" t="s">
        <v>230</v>
      </c>
      <c r="L31" s="20" t="s">
        <v>50</v>
      </c>
    </row>
    <row r="32" customFormat="false" ht="22.35" hidden="false" customHeight="false" outlineLevel="0" collapsed="false">
      <c r="A32" s="15" t="n">
        <v>31</v>
      </c>
      <c r="B32" s="16" t="s">
        <v>8</v>
      </c>
      <c r="C32" s="17" t="s">
        <v>174</v>
      </c>
      <c r="D32" s="18" t="s">
        <v>19</v>
      </c>
      <c r="E32" s="17" t="s">
        <v>231</v>
      </c>
      <c r="F32" s="17" t="s">
        <v>232</v>
      </c>
      <c r="G32" s="17" t="s">
        <v>233</v>
      </c>
      <c r="H32" s="17" t="s">
        <v>234</v>
      </c>
      <c r="I32" s="19" t="s">
        <v>40</v>
      </c>
      <c r="J32" s="17" t="s">
        <v>235</v>
      </c>
      <c r="K32" s="17" t="s">
        <v>236</v>
      </c>
      <c r="L32" s="17" t="s">
        <v>237</v>
      </c>
    </row>
    <row r="33" customFormat="false" ht="15" hidden="false" customHeight="false" outlineLevel="0" collapsed="false">
      <c r="A33" s="15" t="n">
        <v>32</v>
      </c>
      <c r="B33" s="16" t="s">
        <v>8</v>
      </c>
      <c r="C33" s="20" t="s">
        <v>238</v>
      </c>
      <c r="D33" s="18" t="s">
        <v>19</v>
      </c>
      <c r="E33" s="20" t="s">
        <v>239</v>
      </c>
      <c r="F33" s="20" t="s">
        <v>240</v>
      </c>
      <c r="G33" s="20" t="s">
        <v>241</v>
      </c>
      <c r="H33" s="20" t="s">
        <v>242</v>
      </c>
      <c r="I33" s="22" t="s">
        <v>115</v>
      </c>
      <c r="J33" s="20" t="s">
        <v>243</v>
      </c>
      <c r="K33" s="20" t="s">
        <v>244</v>
      </c>
      <c r="L33" s="20" t="s">
        <v>245</v>
      </c>
    </row>
    <row r="34" customFormat="false" ht="22.35" hidden="false" customHeight="false" outlineLevel="0" collapsed="false">
      <c r="A34" s="15" t="n">
        <v>33</v>
      </c>
      <c r="B34" s="16" t="s">
        <v>8</v>
      </c>
      <c r="C34" s="17" t="s">
        <v>238</v>
      </c>
      <c r="D34" s="18" t="s">
        <v>19</v>
      </c>
      <c r="E34" s="17" t="s">
        <v>246</v>
      </c>
      <c r="F34" s="17" t="s">
        <v>247</v>
      </c>
      <c r="G34" s="17" t="s">
        <v>248</v>
      </c>
      <c r="H34" s="17" t="s">
        <v>249</v>
      </c>
      <c r="I34" s="22" t="s">
        <v>115</v>
      </c>
      <c r="J34" s="17" t="s">
        <v>250</v>
      </c>
      <c r="K34" s="17" t="s">
        <v>251</v>
      </c>
      <c r="L34" s="17" t="s">
        <v>50</v>
      </c>
    </row>
    <row r="35" customFormat="false" ht="22.35" hidden="false" customHeight="false" outlineLevel="0" collapsed="false">
      <c r="A35" s="15" t="n">
        <v>34</v>
      </c>
      <c r="B35" s="16" t="s">
        <v>8</v>
      </c>
      <c r="C35" s="20" t="s">
        <v>238</v>
      </c>
      <c r="D35" s="18" t="s">
        <v>21</v>
      </c>
      <c r="E35" s="20" t="s">
        <v>252</v>
      </c>
      <c r="F35" s="20" t="s">
        <v>253</v>
      </c>
      <c r="G35" s="20" t="s">
        <v>254</v>
      </c>
      <c r="H35" s="20" t="s">
        <v>255</v>
      </c>
      <c r="I35" s="19" t="s">
        <v>40</v>
      </c>
      <c r="J35" s="20" t="s">
        <v>256</v>
      </c>
      <c r="K35" s="20" t="s">
        <v>257</v>
      </c>
      <c r="L35" s="20" t="s">
        <v>258</v>
      </c>
    </row>
    <row r="36" customFormat="false" ht="22.35" hidden="false" customHeight="false" outlineLevel="0" collapsed="false">
      <c r="A36" s="15" t="n">
        <v>35</v>
      </c>
      <c r="B36" s="16" t="s">
        <v>8</v>
      </c>
      <c r="C36" s="17" t="s">
        <v>238</v>
      </c>
      <c r="D36" s="18" t="s">
        <v>21</v>
      </c>
      <c r="E36" s="17" t="s">
        <v>259</v>
      </c>
      <c r="F36" s="17" t="s">
        <v>260</v>
      </c>
      <c r="G36" s="17" t="s">
        <v>261</v>
      </c>
      <c r="H36" s="17" t="s">
        <v>262</v>
      </c>
      <c r="I36" s="19" t="s">
        <v>40</v>
      </c>
      <c r="J36" s="17" t="s">
        <v>263</v>
      </c>
      <c r="K36" s="17" t="s">
        <v>148</v>
      </c>
      <c r="L36" s="17" t="s">
        <v>264</v>
      </c>
    </row>
    <row r="37" customFormat="false" ht="15" hidden="false" customHeight="false" outlineLevel="0" collapsed="false">
      <c r="A37" s="15" t="n">
        <v>36</v>
      </c>
      <c r="B37" s="16" t="s">
        <v>8</v>
      </c>
      <c r="C37" s="20" t="s">
        <v>238</v>
      </c>
      <c r="D37" s="18" t="s">
        <v>19</v>
      </c>
      <c r="E37" s="20" t="s">
        <v>265</v>
      </c>
      <c r="F37" s="20" t="s">
        <v>266</v>
      </c>
      <c r="G37" s="20" t="s">
        <v>267</v>
      </c>
      <c r="H37" s="20" t="s">
        <v>268</v>
      </c>
      <c r="I37" s="21" t="s">
        <v>48</v>
      </c>
      <c r="J37" s="20" t="s">
        <v>269</v>
      </c>
      <c r="K37" s="20" t="s">
        <v>270</v>
      </c>
      <c r="L37" s="20" t="s">
        <v>50</v>
      </c>
    </row>
    <row r="38" customFormat="false" ht="22.35" hidden="false" customHeight="false" outlineLevel="0" collapsed="false">
      <c r="A38" s="15" t="n">
        <v>37</v>
      </c>
      <c r="B38" s="16" t="s">
        <v>8</v>
      </c>
      <c r="C38" s="17" t="s">
        <v>238</v>
      </c>
      <c r="D38" s="18" t="s">
        <v>19</v>
      </c>
      <c r="E38" s="17" t="s">
        <v>271</v>
      </c>
      <c r="F38" s="17" t="s">
        <v>272</v>
      </c>
      <c r="G38" s="17" t="s">
        <v>273</v>
      </c>
      <c r="H38" s="17" t="s">
        <v>274</v>
      </c>
      <c r="I38" s="19" t="s">
        <v>40</v>
      </c>
      <c r="J38" s="17" t="s">
        <v>275</v>
      </c>
      <c r="K38" s="17" t="s">
        <v>276</v>
      </c>
      <c r="L38" s="17" t="s">
        <v>277</v>
      </c>
    </row>
    <row r="39" customFormat="false" ht="15" hidden="false" customHeight="false" outlineLevel="0" collapsed="false">
      <c r="A39" s="15" t="n">
        <v>38</v>
      </c>
      <c r="B39" s="16" t="s">
        <v>8</v>
      </c>
      <c r="C39" s="20" t="s">
        <v>238</v>
      </c>
      <c r="D39" s="18" t="s">
        <v>21</v>
      </c>
      <c r="E39" s="20" t="s">
        <v>278</v>
      </c>
      <c r="F39" s="20" t="s">
        <v>279</v>
      </c>
      <c r="G39" s="20" t="s">
        <v>280</v>
      </c>
      <c r="H39" s="20" t="s">
        <v>281</v>
      </c>
      <c r="I39" s="21" t="s">
        <v>48</v>
      </c>
      <c r="J39" s="20" t="s">
        <v>282</v>
      </c>
      <c r="K39" s="20" t="s">
        <v>283</v>
      </c>
      <c r="L39" s="20" t="s">
        <v>284</v>
      </c>
    </row>
    <row r="40" customFormat="false" ht="22.35" hidden="false" customHeight="false" outlineLevel="0" collapsed="false">
      <c r="A40" s="15" t="n">
        <v>39</v>
      </c>
      <c r="B40" s="16" t="s">
        <v>8</v>
      </c>
      <c r="C40" s="17" t="s">
        <v>238</v>
      </c>
      <c r="D40" s="18" t="s">
        <v>19</v>
      </c>
      <c r="E40" s="17" t="s">
        <v>285</v>
      </c>
      <c r="F40" s="17" t="s">
        <v>286</v>
      </c>
      <c r="G40" s="17" t="s">
        <v>287</v>
      </c>
      <c r="H40" s="17" t="s">
        <v>288</v>
      </c>
      <c r="I40" s="21" t="s">
        <v>48</v>
      </c>
      <c r="J40" s="17" t="s">
        <v>289</v>
      </c>
      <c r="K40" s="17" t="s">
        <v>290</v>
      </c>
      <c r="L40" s="17" t="s">
        <v>50</v>
      </c>
    </row>
    <row r="41" customFormat="false" ht="22.35" hidden="false" customHeight="false" outlineLevel="0" collapsed="false">
      <c r="A41" s="15" t="n">
        <v>40</v>
      </c>
      <c r="B41" s="16" t="s">
        <v>8</v>
      </c>
      <c r="C41" s="20" t="s">
        <v>238</v>
      </c>
      <c r="D41" s="18" t="s">
        <v>19</v>
      </c>
      <c r="E41" s="20" t="s">
        <v>291</v>
      </c>
      <c r="F41" s="20" t="s">
        <v>292</v>
      </c>
      <c r="G41" s="20" t="s">
        <v>293</v>
      </c>
      <c r="H41" s="20" t="s">
        <v>294</v>
      </c>
      <c r="I41" s="21" t="s">
        <v>48</v>
      </c>
      <c r="J41" s="20" t="s">
        <v>295</v>
      </c>
      <c r="K41" s="20" t="s">
        <v>296</v>
      </c>
      <c r="L41" s="20" t="s">
        <v>50</v>
      </c>
    </row>
    <row r="42" customFormat="false" ht="22.35" hidden="false" customHeight="false" outlineLevel="0" collapsed="false">
      <c r="A42" s="15" t="n">
        <v>41</v>
      </c>
      <c r="B42" s="16" t="s">
        <v>8</v>
      </c>
      <c r="C42" s="17" t="s">
        <v>238</v>
      </c>
      <c r="D42" s="18" t="s">
        <v>21</v>
      </c>
      <c r="E42" s="17" t="s">
        <v>297</v>
      </c>
      <c r="F42" s="17" t="s">
        <v>298</v>
      </c>
      <c r="G42" s="17" t="s">
        <v>299</v>
      </c>
      <c r="H42" s="17" t="s">
        <v>300</v>
      </c>
      <c r="I42" s="21" t="s">
        <v>48</v>
      </c>
      <c r="J42" s="17" t="s">
        <v>301</v>
      </c>
      <c r="K42" s="17" t="s">
        <v>217</v>
      </c>
      <c r="L42" s="17" t="s">
        <v>218</v>
      </c>
    </row>
    <row r="43" customFormat="false" ht="22.35" hidden="false" customHeight="false" outlineLevel="0" collapsed="false">
      <c r="A43" s="15" t="n">
        <v>42</v>
      </c>
      <c r="B43" s="23" t="s">
        <v>10</v>
      </c>
      <c r="C43" s="20" t="s">
        <v>302</v>
      </c>
      <c r="D43" s="18" t="s">
        <v>13</v>
      </c>
      <c r="E43" s="20" t="s">
        <v>303</v>
      </c>
      <c r="F43" s="20" t="s">
        <v>304</v>
      </c>
      <c r="G43" s="20" t="s">
        <v>305</v>
      </c>
      <c r="H43" s="20" t="s">
        <v>306</v>
      </c>
      <c r="I43" s="21" t="s">
        <v>48</v>
      </c>
      <c r="J43" s="20" t="s">
        <v>307</v>
      </c>
      <c r="K43" s="20" t="s">
        <v>42</v>
      </c>
      <c r="L43" s="20" t="s">
        <v>308</v>
      </c>
    </row>
    <row r="44" customFormat="false" ht="22.35" hidden="false" customHeight="false" outlineLevel="0" collapsed="false">
      <c r="A44" s="15" t="n">
        <v>43</v>
      </c>
      <c r="B44" s="23" t="s">
        <v>10</v>
      </c>
      <c r="C44" s="17" t="s">
        <v>302</v>
      </c>
      <c r="D44" s="18" t="s">
        <v>13</v>
      </c>
      <c r="E44" s="17" t="s">
        <v>309</v>
      </c>
      <c r="F44" s="17" t="s">
        <v>310</v>
      </c>
      <c r="G44" s="17" t="s">
        <v>311</v>
      </c>
      <c r="H44" s="17" t="s">
        <v>312</v>
      </c>
      <c r="I44" s="21" t="s">
        <v>48</v>
      </c>
      <c r="J44" s="17" t="s">
        <v>313</v>
      </c>
      <c r="K44" s="17" t="s">
        <v>314</v>
      </c>
      <c r="L44" s="17" t="s">
        <v>315</v>
      </c>
    </row>
    <row r="45" customFormat="false" ht="22.35" hidden="false" customHeight="false" outlineLevel="0" collapsed="false">
      <c r="A45" s="15" t="n">
        <v>44</v>
      </c>
      <c r="B45" s="23" t="s">
        <v>10</v>
      </c>
      <c r="C45" s="20" t="s">
        <v>302</v>
      </c>
      <c r="D45" s="18" t="s">
        <v>11</v>
      </c>
      <c r="E45" s="20" t="s">
        <v>316</v>
      </c>
      <c r="F45" s="20" t="s">
        <v>317</v>
      </c>
      <c r="G45" s="20" t="s">
        <v>318</v>
      </c>
      <c r="H45" s="20" t="s">
        <v>319</v>
      </c>
      <c r="I45" s="19" t="s">
        <v>40</v>
      </c>
      <c r="J45" s="20" t="s">
        <v>320</v>
      </c>
      <c r="K45" s="20" t="s">
        <v>321</v>
      </c>
      <c r="L45" s="20" t="s">
        <v>50</v>
      </c>
    </row>
    <row r="46" customFormat="false" ht="22.35" hidden="false" customHeight="false" outlineLevel="0" collapsed="false">
      <c r="A46" s="15" t="n">
        <v>45</v>
      </c>
      <c r="B46" s="23" t="s">
        <v>10</v>
      </c>
      <c r="C46" s="17" t="s">
        <v>302</v>
      </c>
      <c r="D46" s="18" t="s">
        <v>13</v>
      </c>
      <c r="E46" s="17" t="s">
        <v>322</v>
      </c>
      <c r="F46" s="17" t="s">
        <v>323</v>
      </c>
      <c r="G46" s="17" t="s">
        <v>324</v>
      </c>
      <c r="H46" s="17" t="s">
        <v>325</v>
      </c>
      <c r="I46" s="21" t="s">
        <v>48</v>
      </c>
      <c r="J46" s="17" t="s">
        <v>326</v>
      </c>
      <c r="K46" s="17" t="s">
        <v>327</v>
      </c>
      <c r="L46" s="17" t="s">
        <v>328</v>
      </c>
    </row>
    <row r="47" customFormat="false" ht="22.35" hidden="false" customHeight="false" outlineLevel="0" collapsed="false">
      <c r="A47" s="15" t="n">
        <v>46</v>
      </c>
      <c r="B47" s="23" t="s">
        <v>10</v>
      </c>
      <c r="C47" s="20" t="s">
        <v>302</v>
      </c>
      <c r="D47" s="18" t="s">
        <v>13</v>
      </c>
      <c r="E47" s="20" t="s">
        <v>329</v>
      </c>
      <c r="F47" s="20" t="s">
        <v>330</v>
      </c>
      <c r="G47" s="20" t="s">
        <v>331</v>
      </c>
      <c r="H47" s="20" t="s">
        <v>332</v>
      </c>
      <c r="I47" s="19" t="s">
        <v>40</v>
      </c>
      <c r="J47" s="20" t="s">
        <v>320</v>
      </c>
      <c r="K47" s="20" t="s">
        <v>333</v>
      </c>
      <c r="L47" s="20" t="s">
        <v>50</v>
      </c>
    </row>
    <row r="48" customFormat="false" ht="22.35" hidden="false" customHeight="false" outlineLevel="0" collapsed="false">
      <c r="A48" s="15" t="n">
        <v>47</v>
      </c>
      <c r="B48" s="23" t="s">
        <v>10</v>
      </c>
      <c r="C48" s="17" t="s">
        <v>302</v>
      </c>
      <c r="D48" s="18" t="s">
        <v>13</v>
      </c>
      <c r="E48" s="17" t="s">
        <v>334</v>
      </c>
      <c r="F48" s="17" t="s">
        <v>335</v>
      </c>
      <c r="G48" s="17" t="s">
        <v>336</v>
      </c>
      <c r="H48" s="17" t="s">
        <v>337</v>
      </c>
      <c r="I48" s="21" t="s">
        <v>48</v>
      </c>
      <c r="J48" s="17" t="s">
        <v>338</v>
      </c>
      <c r="K48" s="17" t="s">
        <v>339</v>
      </c>
      <c r="L48" s="17" t="s">
        <v>50</v>
      </c>
    </row>
    <row r="49" customFormat="false" ht="22.35" hidden="false" customHeight="false" outlineLevel="0" collapsed="false">
      <c r="A49" s="15" t="n">
        <v>48</v>
      </c>
      <c r="B49" s="23" t="s">
        <v>10</v>
      </c>
      <c r="C49" s="20" t="s">
        <v>302</v>
      </c>
      <c r="D49" s="18" t="s">
        <v>13</v>
      </c>
      <c r="E49" s="20" t="s">
        <v>340</v>
      </c>
      <c r="F49" s="20" t="s">
        <v>341</v>
      </c>
      <c r="G49" s="20" t="s">
        <v>342</v>
      </c>
      <c r="H49" s="20" t="s">
        <v>343</v>
      </c>
      <c r="I49" s="21" t="s">
        <v>48</v>
      </c>
      <c r="J49" s="20" t="s">
        <v>344</v>
      </c>
      <c r="K49" s="20" t="s">
        <v>42</v>
      </c>
      <c r="L49" s="20" t="s">
        <v>50</v>
      </c>
    </row>
    <row r="50" customFormat="false" ht="22.35" hidden="false" customHeight="false" outlineLevel="0" collapsed="false">
      <c r="A50" s="15" t="n">
        <v>49</v>
      </c>
      <c r="B50" s="23" t="s">
        <v>10</v>
      </c>
      <c r="C50" s="17" t="s">
        <v>302</v>
      </c>
      <c r="D50" s="18" t="s">
        <v>13</v>
      </c>
      <c r="E50" s="17" t="s">
        <v>345</v>
      </c>
      <c r="F50" s="17" t="s">
        <v>346</v>
      </c>
      <c r="G50" s="17" t="s">
        <v>347</v>
      </c>
      <c r="H50" s="17" t="s">
        <v>348</v>
      </c>
      <c r="I50" s="21" t="s">
        <v>48</v>
      </c>
      <c r="J50" s="17" t="s">
        <v>349</v>
      </c>
      <c r="K50" s="17" t="s">
        <v>350</v>
      </c>
      <c r="L50" s="17" t="s">
        <v>50</v>
      </c>
    </row>
    <row r="51" customFormat="false" ht="22.35" hidden="false" customHeight="false" outlineLevel="0" collapsed="false">
      <c r="A51" s="15" t="n">
        <v>50</v>
      </c>
      <c r="B51" s="23" t="s">
        <v>10</v>
      </c>
      <c r="C51" s="20" t="s">
        <v>302</v>
      </c>
      <c r="D51" s="18" t="s">
        <v>13</v>
      </c>
      <c r="E51" s="20" t="s">
        <v>351</v>
      </c>
      <c r="F51" s="20" t="s">
        <v>352</v>
      </c>
      <c r="G51" s="20" t="s">
        <v>353</v>
      </c>
      <c r="H51" s="20" t="s">
        <v>354</v>
      </c>
      <c r="I51" s="19" t="s">
        <v>40</v>
      </c>
      <c r="J51" s="20" t="s">
        <v>320</v>
      </c>
      <c r="K51" s="20" t="s">
        <v>355</v>
      </c>
      <c r="L51" s="20" t="s">
        <v>50</v>
      </c>
    </row>
    <row r="52" customFormat="false" ht="22.35" hidden="false" customHeight="false" outlineLevel="0" collapsed="false">
      <c r="A52" s="15" t="n">
        <v>51</v>
      </c>
      <c r="B52" s="23" t="s">
        <v>10</v>
      </c>
      <c r="C52" s="17" t="s">
        <v>302</v>
      </c>
      <c r="D52" s="18" t="s">
        <v>13</v>
      </c>
      <c r="E52" s="17" t="s">
        <v>356</v>
      </c>
      <c r="F52" s="17" t="s">
        <v>357</v>
      </c>
      <c r="G52" s="17" t="s">
        <v>358</v>
      </c>
      <c r="H52" s="17" t="s">
        <v>359</v>
      </c>
      <c r="I52" s="19" t="s">
        <v>40</v>
      </c>
      <c r="J52" s="17" t="s">
        <v>360</v>
      </c>
      <c r="K52" s="17" t="s">
        <v>361</v>
      </c>
      <c r="L52" s="17" t="s">
        <v>50</v>
      </c>
    </row>
    <row r="53" customFormat="false" ht="22.35" hidden="false" customHeight="false" outlineLevel="0" collapsed="false">
      <c r="A53" s="15" t="n">
        <v>52</v>
      </c>
      <c r="B53" s="23" t="s">
        <v>10</v>
      </c>
      <c r="C53" s="20" t="s">
        <v>362</v>
      </c>
      <c r="D53" s="18" t="s">
        <v>15</v>
      </c>
      <c r="E53" s="20" t="s">
        <v>363</v>
      </c>
      <c r="F53" s="20" t="s">
        <v>364</v>
      </c>
      <c r="G53" s="20" t="s">
        <v>365</v>
      </c>
      <c r="H53" s="20" t="s">
        <v>366</v>
      </c>
      <c r="I53" s="21" t="s">
        <v>48</v>
      </c>
      <c r="J53" s="20" t="s">
        <v>326</v>
      </c>
      <c r="K53" s="20" t="s">
        <v>367</v>
      </c>
      <c r="L53" s="20" t="s">
        <v>96</v>
      </c>
    </row>
    <row r="54" customFormat="false" ht="15" hidden="false" customHeight="false" outlineLevel="0" collapsed="false">
      <c r="A54" s="15" t="n">
        <v>53</v>
      </c>
      <c r="B54" s="23" t="s">
        <v>10</v>
      </c>
      <c r="C54" s="17" t="s">
        <v>362</v>
      </c>
      <c r="D54" s="18" t="s">
        <v>15</v>
      </c>
      <c r="E54" s="17" t="s">
        <v>368</v>
      </c>
      <c r="F54" s="17" t="s">
        <v>369</v>
      </c>
      <c r="G54" s="17" t="s">
        <v>370</v>
      </c>
      <c r="H54" s="17" t="s">
        <v>371</v>
      </c>
      <c r="I54" s="21" t="s">
        <v>48</v>
      </c>
      <c r="J54" s="17" t="s">
        <v>372</v>
      </c>
      <c r="K54" s="17" t="s">
        <v>373</v>
      </c>
      <c r="L54" s="17" t="s">
        <v>374</v>
      </c>
    </row>
    <row r="55" customFormat="false" ht="22.35" hidden="false" customHeight="false" outlineLevel="0" collapsed="false">
      <c r="A55" s="15" t="n">
        <v>54</v>
      </c>
      <c r="B55" s="23" t="s">
        <v>10</v>
      </c>
      <c r="C55" s="20" t="s">
        <v>362</v>
      </c>
      <c r="D55" s="18" t="s">
        <v>15</v>
      </c>
      <c r="E55" s="20" t="s">
        <v>375</v>
      </c>
      <c r="F55" s="20" t="s">
        <v>376</v>
      </c>
      <c r="G55" s="20" t="s">
        <v>377</v>
      </c>
      <c r="H55" s="20" t="s">
        <v>378</v>
      </c>
      <c r="I55" s="22" t="s">
        <v>115</v>
      </c>
      <c r="J55" s="20" t="s">
        <v>326</v>
      </c>
      <c r="K55" s="20" t="s">
        <v>42</v>
      </c>
      <c r="L55" s="20" t="s">
        <v>379</v>
      </c>
    </row>
    <row r="56" customFormat="false" ht="15" hidden="false" customHeight="false" outlineLevel="0" collapsed="false">
      <c r="A56" s="15" t="n">
        <v>55</v>
      </c>
      <c r="B56" s="23" t="s">
        <v>10</v>
      </c>
      <c r="C56" s="17" t="s">
        <v>362</v>
      </c>
      <c r="D56" s="18" t="s">
        <v>15</v>
      </c>
      <c r="E56" s="17" t="s">
        <v>380</v>
      </c>
      <c r="F56" s="17" t="s">
        <v>381</v>
      </c>
      <c r="G56" s="17" t="s">
        <v>382</v>
      </c>
      <c r="H56" s="17" t="s">
        <v>383</v>
      </c>
      <c r="I56" s="19" t="s">
        <v>40</v>
      </c>
      <c r="J56" s="17" t="s">
        <v>320</v>
      </c>
      <c r="K56" s="17" t="s">
        <v>384</v>
      </c>
      <c r="L56" s="17" t="s">
        <v>385</v>
      </c>
    </row>
    <row r="57" customFormat="false" ht="22.35" hidden="false" customHeight="false" outlineLevel="0" collapsed="false">
      <c r="A57" s="15" t="n">
        <v>56</v>
      </c>
      <c r="B57" s="23" t="s">
        <v>10</v>
      </c>
      <c r="C57" s="20" t="s">
        <v>362</v>
      </c>
      <c r="D57" s="18" t="s">
        <v>15</v>
      </c>
      <c r="E57" s="20" t="s">
        <v>386</v>
      </c>
      <c r="F57" s="20" t="s">
        <v>387</v>
      </c>
      <c r="G57" s="20" t="s">
        <v>388</v>
      </c>
      <c r="H57" s="20" t="s">
        <v>389</v>
      </c>
      <c r="I57" s="19" t="s">
        <v>40</v>
      </c>
      <c r="J57" s="20" t="s">
        <v>360</v>
      </c>
      <c r="K57" s="20" t="s">
        <v>390</v>
      </c>
      <c r="L57" s="20" t="s">
        <v>50</v>
      </c>
    </row>
    <row r="58" customFormat="false" ht="22.35" hidden="false" customHeight="false" outlineLevel="0" collapsed="false">
      <c r="A58" s="15" t="n">
        <v>57</v>
      </c>
      <c r="B58" s="23" t="s">
        <v>10</v>
      </c>
      <c r="C58" s="17" t="s">
        <v>362</v>
      </c>
      <c r="D58" s="18" t="s">
        <v>15</v>
      </c>
      <c r="E58" s="17" t="s">
        <v>391</v>
      </c>
      <c r="F58" s="17" t="s">
        <v>392</v>
      </c>
      <c r="G58" s="17" t="s">
        <v>393</v>
      </c>
      <c r="H58" s="17" t="s">
        <v>394</v>
      </c>
      <c r="I58" s="21" t="s">
        <v>48</v>
      </c>
      <c r="J58" s="17" t="s">
        <v>395</v>
      </c>
      <c r="K58" s="17" t="s">
        <v>384</v>
      </c>
      <c r="L58" s="17" t="s">
        <v>396</v>
      </c>
    </row>
    <row r="59" customFormat="false" ht="15" hidden="false" customHeight="false" outlineLevel="0" collapsed="false">
      <c r="A59" s="15" t="n">
        <v>58</v>
      </c>
      <c r="B59" s="23" t="s">
        <v>10</v>
      </c>
      <c r="C59" s="20" t="s">
        <v>362</v>
      </c>
      <c r="D59" s="18" t="s">
        <v>15</v>
      </c>
      <c r="E59" s="20" t="s">
        <v>397</v>
      </c>
      <c r="F59" s="20" t="s">
        <v>398</v>
      </c>
      <c r="G59" s="20" t="s">
        <v>399</v>
      </c>
      <c r="H59" s="20" t="s">
        <v>400</v>
      </c>
      <c r="I59" s="19" t="s">
        <v>40</v>
      </c>
      <c r="J59" s="20" t="s">
        <v>401</v>
      </c>
      <c r="K59" s="20" t="s">
        <v>402</v>
      </c>
      <c r="L59" s="20" t="s">
        <v>50</v>
      </c>
    </row>
    <row r="60" customFormat="false" ht="22.35" hidden="false" customHeight="false" outlineLevel="0" collapsed="false">
      <c r="A60" s="15" t="n">
        <v>59</v>
      </c>
      <c r="B60" s="23" t="s">
        <v>10</v>
      </c>
      <c r="C60" s="17" t="s">
        <v>362</v>
      </c>
      <c r="D60" s="18" t="s">
        <v>15</v>
      </c>
      <c r="E60" s="17" t="s">
        <v>403</v>
      </c>
      <c r="F60" s="17" t="s">
        <v>404</v>
      </c>
      <c r="G60" s="17" t="s">
        <v>405</v>
      </c>
      <c r="H60" s="17" t="s">
        <v>406</v>
      </c>
      <c r="I60" s="21" t="s">
        <v>48</v>
      </c>
      <c r="J60" s="17" t="s">
        <v>407</v>
      </c>
      <c r="K60" s="17" t="s">
        <v>408</v>
      </c>
      <c r="L60" s="17" t="s">
        <v>50</v>
      </c>
    </row>
    <row r="61" customFormat="false" ht="15" hidden="false" customHeight="false" outlineLevel="0" collapsed="false">
      <c r="A61" s="15" t="n">
        <v>60</v>
      </c>
      <c r="B61" s="23" t="s">
        <v>10</v>
      </c>
      <c r="C61" s="20" t="s">
        <v>362</v>
      </c>
      <c r="D61" s="18" t="s">
        <v>15</v>
      </c>
      <c r="E61" s="20" t="s">
        <v>409</v>
      </c>
      <c r="F61" s="20" t="s">
        <v>410</v>
      </c>
      <c r="G61" s="20" t="s">
        <v>411</v>
      </c>
      <c r="H61" s="20" t="s">
        <v>412</v>
      </c>
      <c r="I61" s="21" t="s">
        <v>48</v>
      </c>
      <c r="J61" s="20" t="s">
        <v>413</v>
      </c>
      <c r="K61" s="20" t="s">
        <v>414</v>
      </c>
      <c r="L61" s="20" t="s">
        <v>415</v>
      </c>
    </row>
    <row r="62" customFormat="false" ht="22.35" hidden="false" customHeight="false" outlineLevel="0" collapsed="false">
      <c r="A62" s="15" t="n">
        <v>61</v>
      </c>
      <c r="B62" s="23" t="s">
        <v>10</v>
      </c>
      <c r="C62" s="17" t="s">
        <v>416</v>
      </c>
      <c r="D62" s="18" t="s">
        <v>9</v>
      </c>
      <c r="E62" s="17" t="s">
        <v>417</v>
      </c>
      <c r="F62" s="17" t="s">
        <v>418</v>
      </c>
      <c r="G62" s="17" t="s">
        <v>419</v>
      </c>
      <c r="H62" s="17" t="s">
        <v>420</v>
      </c>
      <c r="I62" s="22" t="s">
        <v>115</v>
      </c>
      <c r="J62" s="17" t="s">
        <v>421</v>
      </c>
      <c r="K62" s="17" t="s">
        <v>422</v>
      </c>
      <c r="L62" s="17" t="s">
        <v>423</v>
      </c>
    </row>
    <row r="63" customFormat="false" ht="22.35" hidden="false" customHeight="false" outlineLevel="0" collapsed="false">
      <c r="A63" s="15" t="n">
        <v>62</v>
      </c>
      <c r="B63" s="23" t="s">
        <v>10</v>
      </c>
      <c r="C63" s="20" t="s">
        <v>416</v>
      </c>
      <c r="D63" s="18" t="s">
        <v>9</v>
      </c>
      <c r="E63" s="20" t="s">
        <v>424</v>
      </c>
      <c r="F63" s="20" t="s">
        <v>425</v>
      </c>
      <c r="G63" s="20" t="s">
        <v>426</v>
      </c>
      <c r="H63" s="20" t="s">
        <v>427</v>
      </c>
      <c r="I63" s="19" t="s">
        <v>40</v>
      </c>
      <c r="J63" s="20" t="s">
        <v>360</v>
      </c>
      <c r="K63" s="20" t="s">
        <v>428</v>
      </c>
      <c r="L63" s="20" t="s">
        <v>50</v>
      </c>
    </row>
    <row r="64" customFormat="false" ht="15" hidden="false" customHeight="false" outlineLevel="0" collapsed="false">
      <c r="A64" s="15" t="n">
        <v>63</v>
      </c>
      <c r="B64" s="23" t="s">
        <v>10</v>
      </c>
      <c r="C64" s="17" t="s">
        <v>416</v>
      </c>
      <c r="D64" s="18" t="s">
        <v>9</v>
      </c>
      <c r="E64" s="17" t="s">
        <v>429</v>
      </c>
      <c r="F64" s="17" t="s">
        <v>430</v>
      </c>
      <c r="G64" s="17" t="s">
        <v>431</v>
      </c>
      <c r="H64" s="17" t="s">
        <v>432</v>
      </c>
      <c r="I64" s="19" t="s">
        <v>40</v>
      </c>
      <c r="J64" s="17" t="s">
        <v>320</v>
      </c>
      <c r="K64" s="17" t="s">
        <v>433</v>
      </c>
      <c r="L64" s="17" t="s">
        <v>434</v>
      </c>
    </row>
    <row r="65" customFormat="false" ht="15" hidden="false" customHeight="false" outlineLevel="0" collapsed="false">
      <c r="A65" s="15" t="n">
        <v>64</v>
      </c>
      <c r="B65" s="23" t="s">
        <v>10</v>
      </c>
      <c r="C65" s="20" t="s">
        <v>416</v>
      </c>
      <c r="D65" s="18" t="s">
        <v>9</v>
      </c>
      <c r="E65" s="20" t="s">
        <v>435</v>
      </c>
      <c r="F65" s="20" t="s">
        <v>436</v>
      </c>
      <c r="G65" s="20" t="s">
        <v>437</v>
      </c>
      <c r="H65" s="20" t="s">
        <v>438</v>
      </c>
      <c r="I65" s="21" t="s">
        <v>48</v>
      </c>
      <c r="J65" s="20" t="s">
        <v>439</v>
      </c>
      <c r="K65" s="20" t="s">
        <v>179</v>
      </c>
      <c r="L65" s="20" t="s">
        <v>440</v>
      </c>
    </row>
    <row r="66" customFormat="false" ht="22.35" hidden="false" customHeight="false" outlineLevel="0" collapsed="false">
      <c r="A66" s="15" t="n">
        <v>65</v>
      </c>
      <c r="B66" s="23" t="s">
        <v>10</v>
      </c>
      <c r="C66" s="17" t="s">
        <v>416</v>
      </c>
      <c r="D66" s="18" t="s">
        <v>9</v>
      </c>
      <c r="E66" s="17" t="s">
        <v>441</v>
      </c>
      <c r="F66" s="17" t="s">
        <v>442</v>
      </c>
      <c r="G66" s="17" t="s">
        <v>443</v>
      </c>
      <c r="H66" s="17" t="s">
        <v>444</v>
      </c>
      <c r="I66" s="19" t="s">
        <v>40</v>
      </c>
      <c r="J66" s="17" t="s">
        <v>445</v>
      </c>
      <c r="K66" s="17" t="s">
        <v>446</v>
      </c>
      <c r="L66" s="17" t="s">
        <v>50</v>
      </c>
    </row>
    <row r="67" customFormat="false" ht="22.35" hidden="false" customHeight="false" outlineLevel="0" collapsed="false">
      <c r="A67" s="15" t="n">
        <v>66</v>
      </c>
      <c r="B67" s="23" t="s">
        <v>10</v>
      </c>
      <c r="C67" s="20" t="s">
        <v>416</v>
      </c>
      <c r="D67" s="18" t="s">
        <v>9</v>
      </c>
      <c r="E67" s="20" t="s">
        <v>447</v>
      </c>
      <c r="F67" s="20" t="s">
        <v>448</v>
      </c>
      <c r="G67" s="20" t="s">
        <v>449</v>
      </c>
      <c r="H67" s="20" t="s">
        <v>450</v>
      </c>
      <c r="I67" s="19" t="s">
        <v>40</v>
      </c>
      <c r="J67" s="20" t="s">
        <v>55</v>
      </c>
      <c r="K67" s="20" t="s">
        <v>451</v>
      </c>
      <c r="L67" s="20" t="s">
        <v>452</v>
      </c>
    </row>
    <row r="68" customFormat="false" ht="15" hidden="false" customHeight="false" outlineLevel="0" collapsed="false">
      <c r="A68" s="15" t="n">
        <v>67</v>
      </c>
      <c r="B68" s="23" t="s">
        <v>10</v>
      </c>
      <c r="C68" s="17" t="s">
        <v>453</v>
      </c>
      <c r="D68" s="18" t="s">
        <v>13</v>
      </c>
      <c r="E68" s="17" t="s">
        <v>454</v>
      </c>
      <c r="F68" s="17" t="s">
        <v>455</v>
      </c>
      <c r="G68" s="17" t="s">
        <v>456</v>
      </c>
      <c r="H68" s="17" t="s">
        <v>457</v>
      </c>
      <c r="I68" s="21" t="s">
        <v>48</v>
      </c>
      <c r="J68" s="17" t="s">
        <v>326</v>
      </c>
      <c r="K68" s="17" t="s">
        <v>458</v>
      </c>
      <c r="L68" s="17" t="s">
        <v>459</v>
      </c>
    </row>
    <row r="69" customFormat="false" ht="22.35" hidden="false" customHeight="false" outlineLevel="0" collapsed="false">
      <c r="A69" s="15" t="n">
        <v>68</v>
      </c>
      <c r="B69" s="23" t="s">
        <v>10</v>
      </c>
      <c r="C69" s="20" t="s">
        <v>453</v>
      </c>
      <c r="D69" s="18" t="s">
        <v>13</v>
      </c>
      <c r="E69" s="20" t="s">
        <v>460</v>
      </c>
      <c r="F69" s="20" t="s">
        <v>461</v>
      </c>
      <c r="G69" s="20" t="s">
        <v>462</v>
      </c>
      <c r="H69" s="20" t="s">
        <v>463</v>
      </c>
      <c r="I69" s="21" t="s">
        <v>48</v>
      </c>
      <c r="J69" s="20" t="s">
        <v>464</v>
      </c>
      <c r="K69" s="20" t="s">
        <v>465</v>
      </c>
      <c r="L69" s="20" t="s">
        <v>50</v>
      </c>
    </row>
    <row r="70" customFormat="false" ht="22.35" hidden="false" customHeight="false" outlineLevel="0" collapsed="false">
      <c r="A70" s="15" t="n">
        <v>69</v>
      </c>
      <c r="B70" s="23" t="s">
        <v>10</v>
      </c>
      <c r="C70" s="17" t="s">
        <v>453</v>
      </c>
      <c r="D70" s="18" t="s">
        <v>13</v>
      </c>
      <c r="E70" s="17" t="s">
        <v>466</v>
      </c>
      <c r="F70" s="17" t="s">
        <v>467</v>
      </c>
      <c r="G70" s="17" t="s">
        <v>468</v>
      </c>
      <c r="H70" s="17" t="s">
        <v>262</v>
      </c>
      <c r="I70" s="19" t="s">
        <v>40</v>
      </c>
      <c r="J70" s="17" t="s">
        <v>469</v>
      </c>
      <c r="K70" s="17" t="s">
        <v>465</v>
      </c>
      <c r="L70" s="17" t="s">
        <v>50</v>
      </c>
    </row>
    <row r="71" customFormat="false" ht="15" hidden="false" customHeight="false" outlineLevel="0" collapsed="false">
      <c r="A71" s="15" t="n">
        <v>70</v>
      </c>
      <c r="B71" s="23" t="s">
        <v>10</v>
      </c>
      <c r="C71" s="20" t="s">
        <v>453</v>
      </c>
      <c r="D71" s="18" t="s">
        <v>13</v>
      </c>
      <c r="E71" s="20" t="s">
        <v>470</v>
      </c>
      <c r="F71" s="20" t="s">
        <v>471</v>
      </c>
      <c r="G71" s="20" t="s">
        <v>472</v>
      </c>
      <c r="H71" s="20" t="s">
        <v>473</v>
      </c>
      <c r="I71" s="19" t="s">
        <v>40</v>
      </c>
      <c r="J71" s="20" t="s">
        <v>474</v>
      </c>
      <c r="K71" s="20" t="s">
        <v>475</v>
      </c>
      <c r="L71" s="20" t="s">
        <v>50</v>
      </c>
    </row>
    <row r="72" customFormat="false" ht="22.35" hidden="false" customHeight="false" outlineLevel="0" collapsed="false">
      <c r="A72" s="15" t="n">
        <v>71</v>
      </c>
      <c r="B72" s="23" t="s">
        <v>10</v>
      </c>
      <c r="C72" s="17" t="s">
        <v>453</v>
      </c>
      <c r="D72" s="18" t="s">
        <v>13</v>
      </c>
      <c r="E72" s="17" t="s">
        <v>476</v>
      </c>
      <c r="F72" s="17" t="s">
        <v>477</v>
      </c>
      <c r="G72" s="17" t="s">
        <v>478</v>
      </c>
      <c r="H72" s="17" t="s">
        <v>479</v>
      </c>
      <c r="I72" s="19" t="s">
        <v>40</v>
      </c>
      <c r="J72" s="17" t="s">
        <v>480</v>
      </c>
      <c r="K72" s="17" t="s">
        <v>481</v>
      </c>
      <c r="L72" s="17" t="s">
        <v>482</v>
      </c>
    </row>
    <row r="73" customFormat="false" ht="22.35" hidden="false" customHeight="false" outlineLevel="0" collapsed="false">
      <c r="A73" s="15" t="n">
        <v>72</v>
      </c>
      <c r="B73" s="23" t="s">
        <v>10</v>
      </c>
      <c r="C73" s="20" t="s">
        <v>453</v>
      </c>
      <c r="D73" s="18" t="s">
        <v>13</v>
      </c>
      <c r="E73" s="20" t="s">
        <v>483</v>
      </c>
      <c r="F73" s="20" t="s">
        <v>484</v>
      </c>
      <c r="G73" s="20" t="s">
        <v>485</v>
      </c>
      <c r="H73" s="20" t="s">
        <v>486</v>
      </c>
      <c r="I73" s="22" t="s">
        <v>115</v>
      </c>
      <c r="J73" s="20" t="s">
        <v>487</v>
      </c>
      <c r="K73" s="20" t="s">
        <v>488</v>
      </c>
      <c r="L73" s="20" t="s">
        <v>489</v>
      </c>
    </row>
    <row r="74" customFormat="false" ht="22.35" hidden="false" customHeight="false" outlineLevel="0" collapsed="false">
      <c r="A74" s="15" t="n">
        <v>73</v>
      </c>
      <c r="B74" s="23" t="s">
        <v>10</v>
      </c>
      <c r="C74" s="17" t="s">
        <v>490</v>
      </c>
      <c r="D74" s="18" t="s">
        <v>22</v>
      </c>
      <c r="E74" s="17" t="s">
        <v>491</v>
      </c>
      <c r="F74" s="17" t="s">
        <v>492</v>
      </c>
      <c r="G74" s="17" t="s">
        <v>493</v>
      </c>
      <c r="H74" s="17" t="s">
        <v>494</v>
      </c>
      <c r="I74" s="19" t="s">
        <v>40</v>
      </c>
      <c r="J74" s="17" t="s">
        <v>349</v>
      </c>
      <c r="K74" s="17" t="s">
        <v>495</v>
      </c>
      <c r="L74" s="17" t="s">
        <v>496</v>
      </c>
    </row>
    <row r="75" customFormat="false" ht="22.35" hidden="false" customHeight="false" outlineLevel="0" collapsed="false">
      <c r="A75" s="15" t="n">
        <v>74</v>
      </c>
      <c r="B75" s="23" t="s">
        <v>10</v>
      </c>
      <c r="C75" s="20" t="s">
        <v>490</v>
      </c>
      <c r="D75" s="18" t="s">
        <v>22</v>
      </c>
      <c r="E75" s="20" t="s">
        <v>497</v>
      </c>
      <c r="F75" s="20" t="s">
        <v>498</v>
      </c>
      <c r="G75" s="20" t="s">
        <v>499</v>
      </c>
      <c r="H75" s="20" t="s">
        <v>500</v>
      </c>
      <c r="I75" s="21" t="s">
        <v>48</v>
      </c>
      <c r="J75" s="20" t="s">
        <v>326</v>
      </c>
      <c r="K75" s="20" t="s">
        <v>501</v>
      </c>
      <c r="L75" s="20" t="s">
        <v>502</v>
      </c>
    </row>
    <row r="76" customFormat="false" ht="22.35" hidden="false" customHeight="false" outlineLevel="0" collapsed="false">
      <c r="A76" s="15" t="n">
        <v>75</v>
      </c>
      <c r="B76" s="23" t="s">
        <v>10</v>
      </c>
      <c r="C76" s="17" t="s">
        <v>490</v>
      </c>
      <c r="D76" s="18" t="s">
        <v>22</v>
      </c>
      <c r="E76" s="17" t="s">
        <v>503</v>
      </c>
      <c r="F76" s="17" t="s">
        <v>504</v>
      </c>
      <c r="G76" s="17" t="s">
        <v>505</v>
      </c>
      <c r="H76" s="17" t="s">
        <v>506</v>
      </c>
      <c r="I76" s="21" t="s">
        <v>48</v>
      </c>
      <c r="J76" s="17" t="s">
        <v>313</v>
      </c>
      <c r="K76" s="17" t="s">
        <v>507</v>
      </c>
      <c r="L76" s="17" t="s">
        <v>508</v>
      </c>
    </row>
    <row r="77" customFormat="false" ht="15" hidden="false" customHeight="false" outlineLevel="0" collapsed="false">
      <c r="A77" s="15" t="n">
        <v>76</v>
      </c>
      <c r="B77" s="23" t="s">
        <v>10</v>
      </c>
      <c r="C77" s="20" t="s">
        <v>490</v>
      </c>
      <c r="D77" s="18" t="s">
        <v>21</v>
      </c>
      <c r="E77" s="20" t="s">
        <v>509</v>
      </c>
      <c r="F77" s="20" t="s">
        <v>510</v>
      </c>
      <c r="G77" s="20" t="s">
        <v>511</v>
      </c>
      <c r="H77" s="20" t="s">
        <v>512</v>
      </c>
      <c r="I77" s="19" t="s">
        <v>40</v>
      </c>
      <c r="J77" s="20" t="s">
        <v>513</v>
      </c>
      <c r="K77" s="20" t="s">
        <v>514</v>
      </c>
      <c r="L77" s="20" t="s">
        <v>515</v>
      </c>
    </row>
    <row r="78" customFormat="false" ht="22.35" hidden="false" customHeight="false" outlineLevel="0" collapsed="false">
      <c r="A78" s="15" t="n">
        <v>77</v>
      </c>
      <c r="B78" s="23" t="s">
        <v>10</v>
      </c>
      <c r="C78" s="17" t="s">
        <v>490</v>
      </c>
      <c r="D78" s="18" t="s">
        <v>22</v>
      </c>
      <c r="E78" s="17" t="s">
        <v>516</v>
      </c>
      <c r="F78" s="17" t="s">
        <v>517</v>
      </c>
      <c r="G78" s="17" t="s">
        <v>518</v>
      </c>
      <c r="H78" s="17" t="s">
        <v>519</v>
      </c>
      <c r="I78" s="21" t="s">
        <v>48</v>
      </c>
      <c r="J78" s="17" t="s">
        <v>520</v>
      </c>
      <c r="K78" s="17" t="s">
        <v>495</v>
      </c>
      <c r="L78" s="17" t="s">
        <v>521</v>
      </c>
    </row>
    <row r="79" customFormat="false" ht="15" hidden="false" customHeight="false" outlineLevel="0" collapsed="false">
      <c r="A79" s="15" t="n">
        <v>78</v>
      </c>
      <c r="B79" s="23" t="s">
        <v>10</v>
      </c>
      <c r="C79" s="20" t="s">
        <v>490</v>
      </c>
      <c r="D79" s="18" t="s">
        <v>22</v>
      </c>
      <c r="E79" s="20" t="s">
        <v>522</v>
      </c>
      <c r="F79" s="20" t="s">
        <v>523</v>
      </c>
      <c r="G79" s="20" t="s">
        <v>524</v>
      </c>
      <c r="H79" s="20" t="s">
        <v>525</v>
      </c>
      <c r="I79" s="19" t="s">
        <v>40</v>
      </c>
      <c r="J79" s="20" t="s">
        <v>320</v>
      </c>
      <c r="K79" s="20" t="s">
        <v>526</v>
      </c>
      <c r="L79" s="20" t="s">
        <v>50</v>
      </c>
    </row>
    <row r="80" customFormat="false" ht="22.35" hidden="false" customHeight="false" outlineLevel="0" collapsed="false">
      <c r="A80" s="15" t="n">
        <v>79</v>
      </c>
      <c r="B80" s="23" t="s">
        <v>10</v>
      </c>
      <c r="C80" s="17" t="s">
        <v>527</v>
      </c>
      <c r="D80" s="18" t="s">
        <v>23</v>
      </c>
      <c r="E80" s="17" t="s">
        <v>528</v>
      </c>
      <c r="F80" s="17" t="s">
        <v>529</v>
      </c>
      <c r="G80" s="17" t="s">
        <v>530</v>
      </c>
      <c r="H80" s="17" t="s">
        <v>531</v>
      </c>
      <c r="I80" s="21" t="s">
        <v>48</v>
      </c>
      <c r="J80" s="17" t="s">
        <v>532</v>
      </c>
      <c r="K80" s="17" t="s">
        <v>533</v>
      </c>
      <c r="L80" s="17" t="s">
        <v>534</v>
      </c>
    </row>
    <row r="81" customFormat="false" ht="22.35" hidden="false" customHeight="false" outlineLevel="0" collapsed="false">
      <c r="A81" s="15" t="n">
        <v>80</v>
      </c>
      <c r="B81" s="23" t="s">
        <v>10</v>
      </c>
      <c r="C81" s="20" t="s">
        <v>527</v>
      </c>
      <c r="D81" s="18" t="s">
        <v>11</v>
      </c>
      <c r="E81" s="20" t="s">
        <v>535</v>
      </c>
      <c r="F81" s="20" t="s">
        <v>536</v>
      </c>
      <c r="G81" s="20" t="s">
        <v>537</v>
      </c>
      <c r="H81" s="20" t="s">
        <v>319</v>
      </c>
      <c r="I81" s="19" t="s">
        <v>40</v>
      </c>
      <c r="J81" s="20" t="s">
        <v>538</v>
      </c>
      <c r="K81" s="20" t="s">
        <v>533</v>
      </c>
      <c r="L81" s="20" t="s">
        <v>50</v>
      </c>
    </row>
    <row r="82" customFormat="false" ht="15" hidden="false" customHeight="false" outlineLevel="0" collapsed="false">
      <c r="A82" s="15" t="n">
        <v>81</v>
      </c>
      <c r="B82" s="23" t="s">
        <v>10</v>
      </c>
      <c r="C82" s="17" t="s">
        <v>527</v>
      </c>
      <c r="D82" s="18" t="s">
        <v>23</v>
      </c>
      <c r="E82" s="17" t="s">
        <v>539</v>
      </c>
      <c r="F82" s="17" t="s">
        <v>540</v>
      </c>
      <c r="G82" s="17" t="s">
        <v>541</v>
      </c>
      <c r="H82" s="17" t="s">
        <v>542</v>
      </c>
      <c r="I82" s="21" t="s">
        <v>48</v>
      </c>
      <c r="J82" s="17" t="s">
        <v>543</v>
      </c>
      <c r="K82" s="17" t="s">
        <v>544</v>
      </c>
      <c r="L82" s="17" t="s">
        <v>545</v>
      </c>
    </row>
    <row r="83" customFormat="false" ht="22.35" hidden="false" customHeight="false" outlineLevel="0" collapsed="false">
      <c r="A83" s="15" t="n">
        <v>82</v>
      </c>
      <c r="B83" s="23" t="s">
        <v>10</v>
      </c>
      <c r="C83" s="20" t="s">
        <v>527</v>
      </c>
      <c r="D83" s="18" t="s">
        <v>23</v>
      </c>
      <c r="E83" s="20" t="s">
        <v>546</v>
      </c>
      <c r="F83" s="20" t="s">
        <v>547</v>
      </c>
      <c r="G83" s="20" t="s">
        <v>548</v>
      </c>
      <c r="H83" s="20" t="s">
        <v>549</v>
      </c>
      <c r="I83" s="19" t="s">
        <v>40</v>
      </c>
      <c r="J83" s="20" t="s">
        <v>360</v>
      </c>
      <c r="K83" s="20" t="s">
        <v>384</v>
      </c>
      <c r="L83" s="20" t="s">
        <v>550</v>
      </c>
    </row>
    <row r="84" customFormat="false" ht="22.35" hidden="false" customHeight="false" outlineLevel="0" collapsed="false">
      <c r="A84" s="15" t="n">
        <v>83</v>
      </c>
      <c r="B84" s="23" t="s">
        <v>10</v>
      </c>
      <c r="C84" s="17" t="s">
        <v>527</v>
      </c>
      <c r="D84" s="18" t="s">
        <v>23</v>
      </c>
      <c r="E84" s="17" t="s">
        <v>551</v>
      </c>
      <c r="F84" s="17" t="s">
        <v>552</v>
      </c>
      <c r="G84" s="17" t="s">
        <v>553</v>
      </c>
      <c r="H84" s="17" t="s">
        <v>554</v>
      </c>
      <c r="I84" s="21" t="s">
        <v>48</v>
      </c>
      <c r="J84" s="17" t="s">
        <v>555</v>
      </c>
      <c r="K84" s="17" t="s">
        <v>556</v>
      </c>
      <c r="L84" s="17" t="s">
        <v>502</v>
      </c>
    </row>
    <row r="85" customFormat="false" ht="22.35" hidden="false" customHeight="false" outlineLevel="0" collapsed="false">
      <c r="A85" s="15" t="n">
        <v>84</v>
      </c>
      <c r="B85" s="24" t="s">
        <v>12</v>
      </c>
      <c r="C85" s="20" t="s">
        <v>557</v>
      </c>
      <c r="D85" s="18" t="s">
        <v>16</v>
      </c>
      <c r="E85" s="20" t="s">
        <v>558</v>
      </c>
      <c r="F85" s="20" t="s">
        <v>559</v>
      </c>
      <c r="G85" s="20" t="s">
        <v>560</v>
      </c>
      <c r="H85" s="20" t="s">
        <v>561</v>
      </c>
      <c r="I85" s="22" t="s">
        <v>115</v>
      </c>
      <c r="J85" s="20" t="s">
        <v>562</v>
      </c>
      <c r="K85" s="20" t="s">
        <v>563</v>
      </c>
      <c r="L85" s="20" t="s">
        <v>564</v>
      </c>
    </row>
    <row r="86" customFormat="false" ht="32.8" hidden="false" customHeight="false" outlineLevel="0" collapsed="false">
      <c r="A86" s="15" t="n">
        <v>85</v>
      </c>
      <c r="B86" s="24" t="s">
        <v>12</v>
      </c>
      <c r="C86" s="17" t="s">
        <v>557</v>
      </c>
      <c r="D86" s="18" t="s">
        <v>16</v>
      </c>
      <c r="E86" s="17" t="s">
        <v>565</v>
      </c>
      <c r="F86" s="17" t="s">
        <v>566</v>
      </c>
      <c r="G86" s="17" t="s">
        <v>567</v>
      </c>
      <c r="H86" s="17" t="s">
        <v>568</v>
      </c>
      <c r="I86" s="21" t="s">
        <v>48</v>
      </c>
      <c r="J86" s="17" t="s">
        <v>569</v>
      </c>
      <c r="K86" s="17" t="s">
        <v>570</v>
      </c>
      <c r="L86" s="17" t="s">
        <v>571</v>
      </c>
    </row>
    <row r="87" customFormat="false" ht="22.35" hidden="false" customHeight="false" outlineLevel="0" collapsed="false">
      <c r="A87" s="15" t="n">
        <v>86</v>
      </c>
      <c r="B87" s="24" t="s">
        <v>12</v>
      </c>
      <c r="C87" s="20" t="s">
        <v>557</v>
      </c>
      <c r="D87" s="18" t="s">
        <v>16</v>
      </c>
      <c r="E87" s="20" t="s">
        <v>572</v>
      </c>
      <c r="F87" s="20" t="s">
        <v>573</v>
      </c>
      <c r="G87" s="20" t="s">
        <v>574</v>
      </c>
      <c r="H87" s="20" t="s">
        <v>575</v>
      </c>
      <c r="I87" s="21" t="s">
        <v>48</v>
      </c>
      <c r="J87" s="20" t="s">
        <v>576</v>
      </c>
      <c r="K87" s="20" t="s">
        <v>577</v>
      </c>
      <c r="L87" s="20" t="s">
        <v>578</v>
      </c>
    </row>
    <row r="88" customFormat="false" ht="22.35" hidden="false" customHeight="false" outlineLevel="0" collapsed="false">
      <c r="A88" s="15" t="n">
        <v>87</v>
      </c>
      <c r="B88" s="24" t="s">
        <v>12</v>
      </c>
      <c r="C88" s="17" t="s">
        <v>557</v>
      </c>
      <c r="D88" s="18" t="s">
        <v>16</v>
      </c>
      <c r="E88" s="17" t="s">
        <v>579</v>
      </c>
      <c r="F88" s="17" t="s">
        <v>580</v>
      </c>
      <c r="G88" s="17" t="s">
        <v>581</v>
      </c>
      <c r="H88" s="17" t="s">
        <v>582</v>
      </c>
      <c r="I88" s="21" t="s">
        <v>48</v>
      </c>
      <c r="J88" s="17" t="s">
        <v>583</v>
      </c>
      <c r="K88" s="17" t="s">
        <v>584</v>
      </c>
      <c r="L88" s="17" t="s">
        <v>585</v>
      </c>
    </row>
    <row r="89" customFormat="false" ht="22.35" hidden="false" customHeight="false" outlineLevel="0" collapsed="false">
      <c r="A89" s="15" t="n">
        <v>88</v>
      </c>
      <c r="B89" s="24" t="s">
        <v>12</v>
      </c>
      <c r="C89" s="20" t="s">
        <v>557</v>
      </c>
      <c r="D89" s="18" t="s">
        <v>16</v>
      </c>
      <c r="E89" s="20" t="s">
        <v>586</v>
      </c>
      <c r="F89" s="20" t="s">
        <v>587</v>
      </c>
      <c r="G89" s="20" t="s">
        <v>588</v>
      </c>
      <c r="H89" s="20" t="s">
        <v>589</v>
      </c>
      <c r="I89" s="21" t="s">
        <v>48</v>
      </c>
      <c r="J89" s="20" t="s">
        <v>590</v>
      </c>
      <c r="K89" s="20" t="s">
        <v>591</v>
      </c>
      <c r="L89" s="20" t="s">
        <v>502</v>
      </c>
    </row>
    <row r="90" customFormat="false" ht="22.35" hidden="false" customHeight="false" outlineLevel="0" collapsed="false">
      <c r="A90" s="15" t="n">
        <v>89</v>
      </c>
      <c r="B90" s="24" t="s">
        <v>12</v>
      </c>
      <c r="C90" s="17" t="s">
        <v>557</v>
      </c>
      <c r="D90" s="18" t="s">
        <v>21</v>
      </c>
      <c r="E90" s="17" t="s">
        <v>592</v>
      </c>
      <c r="F90" s="17" t="s">
        <v>593</v>
      </c>
      <c r="G90" s="17" t="s">
        <v>594</v>
      </c>
      <c r="H90" s="17" t="s">
        <v>595</v>
      </c>
      <c r="I90" s="21" t="s">
        <v>48</v>
      </c>
      <c r="J90" s="17" t="s">
        <v>596</v>
      </c>
      <c r="K90" s="17" t="s">
        <v>597</v>
      </c>
      <c r="L90" s="17" t="s">
        <v>598</v>
      </c>
    </row>
    <row r="91" customFormat="false" ht="22.35" hidden="false" customHeight="false" outlineLevel="0" collapsed="false">
      <c r="A91" s="15" t="n">
        <v>90</v>
      </c>
      <c r="B91" s="24" t="s">
        <v>12</v>
      </c>
      <c r="C91" s="20" t="s">
        <v>557</v>
      </c>
      <c r="D91" s="18" t="s">
        <v>16</v>
      </c>
      <c r="E91" s="20" t="s">
        <v>599</v>
      </c>
      <c r="F91" s="20" t="s">
        <v>600</v>
      </c>
      <c r="G91" s="20" t="s">
        <v>601</v>
      </c>
      <c r="H91" s="20" t="s">
        <v>602</v>
      </c>
      <c r="I91" s="21" t="s">
        <v>48</v>
      </c>
      <c r="J91" s="20" t="s">
        <v>603</v>
      </c>
      <c r="K91" s="20" t="s">
        <v>604</v>
      </c>
      <c r="L91" s="20" t="s">
        <v>605</v>
      </c>
    </row>
    <row r="92" customFormat="false" ht="22.35" hidden="false" customHeight="false" outlineLevel="0" collapsed="false">
      <c r="A92" s="15" t="n">
        <v>91</v>
      </c>
      <c r="B92" s="24" t="s">
        <v>12</v>
      </c>
      <c r="C92" s="17" t="s">
        <v>606</v>
      </c>
      <c r="D92" s="18" t="s">
        <v>17</v>
      </c>
      <c r="E92" s="17" t="s">
        <v>607</v>
      </c>
      <c r="F92" s="17" t="s">
        <v>608</v>
      </c>
      <c r="G92" s="17" t="s">
        <v>609</v>
      </c>
      <c r="H92" s="17" t="s">
        <v>610</v>
      </c>
      <c r="I92" s="21" t="s">
        <v>48</v>
      </c>
      <c r="J92" s="17" t="s">
        <v>611</v>
      </c>
      <c r="K92" s="17" t="s">
        <v>612</v>
      </c>
      <c r="L92" s="17" t="s">
        <v>613</v>
      </c>
    </row>
    <row r="93" customFormat="false" ht="22.35" hidden="false" customHeight="false" outlineLevel="0" collapsed="false">
      <c r="A93" s="15" t="n">
        <v>92</v>
      </c>
      <c r="B93" s="24" t="s">
        <v>12</v>
      </c>
      <c r="C93" s="20" t="s">
        <v>606</v>
      </c>
      <c r="D93" s="18" t="s">
        <v>17</v>
      </c>
      <c r="E93" s="20" t="s">
        <v>614</v>
      </c>
      <c r="F93" s="20" t="s">
        <v>615</v>
      </c>
      <c r="G93" s="20" t="s">
        <v>616</v>
      </c>
      <c r="H93" s="20" t="s">
        <v>617</v>
      </c>
      <c r="I93" s="19" t="s">
        <v>40</v>
      </c>
      <c r="J93" s="20" t="s">
        <v>618</v>
      </c>
      <c r="K93" s="20" t="s">
        <v>619</v>
      </c>
      <c r="L93" s="20" t="s">
        <v>508</v>
      </c>
    </row>
    <row r="94" customFormat="false" ht="22.35" hidden="false" customHeight="false" outlineLevel="0" collapsed="false">
      <c r="A94" s="15" t="n">
        <v>93</v>
      </c>
      <c r="B94" s="24" t="s">
        <v>12</v>
      </c>
      <c r="C94" s="17" t="s">
        <v>606</v>
      </c>
      <c r="D94" s="18" t="s">
        <v>17</v>
      </c>
      <c r="E94" s="17" t="s">
        <v>620</v>
      </c>
      <c r="F94" s="17" t="s">
        <v>621</v>
      </c>
      <c r="G94" s="17" t="s">
        <v>622</v>
      </c>
      <c r="H94" s="17" t="s">
        <v>623</v>
      </c>
      <c r="I94" s="21" t="s">
        <v>48</v>
      </c>
      <c r="J94" s="17" t="s">
        <v>624</v>
      </c>
      <c r="K94" s="17" t="s">
        <v>625</v>
      </c>
      <c r="L94" s="17" t="s">
        <v>626</v>
      </c>
    </row>
    <row r="95" customFormat="false" ht="22.35" hidden="false" customHeight="false" outlineLevel="0" collapsed="false">
      <c r="A95" s="15" t="n">
        <v>94</v>
      </c>
      <c r="B95" s="24" t="s">
        <v>12</v>
      </c>
      <c r="C95" s="20" t="s">
        <v>606</v>
      </c>
      <c r="D95" s="18" t="s">
        <v>17</v>
      </c>
      <c r="E95" s="20" t="s">
        <v>627</v>
      </c>
      <c r="F95" s="20" t="s">
        <v>418</v>
      </c>
      <c r="G95" s="20" t="s">
        <v>628</v>
      </c>
      <c r="H95" s="20" t="s">
        <v>629</v>
      </c>
      <c r="I95" s="22" t="s">
        <v>115</v>
      </c>
      <c r="J95" s="20" t="s">
        <v>630</v>
      </c>
      <c r="K95" s="20" t="s">
        <v>631</v>
      </c>
      <c r="L95" s="20" t="s">
        <v>632</v>
      </c>
    </row>
    <row r="96" customFormat="false" ht="32.8" hidden="false" customHeight="false" outlineLevel="0" collapsed="false">
      <c r="A96" s="15" t="n">
        <v>95</v>
      </c>
      <c r="B96" s="24" t="s">
        <v>12</v>
      </c>
      <c r="C96" s="17" t="s">
        <v>606</v>
      </c>
      <c r="D96" s="18" t="s">
        <v>17</v>
      </c>
      <c r="E96" s="17" t="s">
        <v>633</v>
      </c>
      <c r="F96" s="17" t="s">
        <v>634</v>
      </c>
      <c r="G96" s="17" t="s">
        <v>635</v>
      </c>
      <c r="H96" s="17" t="s">
        <v>636</v>
      </c>
      <c r="I96" s="21" t="s">
        <v>48</v>
      </c>
      <c r="J96" s="17" t="s">
        <v>637</v>
      </c>
      <c r="K96" s="17" t="s">
        <v>638</v>
      </c>
      <c r="L96" s="17" t="s">
        <v>639</v>
      </c>
    </row>
    <row r="97" customFormat="false" ht="22.35" hidden="false" customHeight="false" outlineLevel="0" collapsed="false">
      <c r="A97" s="15" t="n">
        <v>96</v>
      </c>
      <c r="B97" s="24" t="s">
        <v>12</v>
      </c>
      <c r="C97" s="20" t="s">
        <v>640</v>
      </c>
      <c r="D97" s="18" t="s">
        <v>11</v>
      </c>
      <c r="E97" s="20" t="s">
        <v>641</v>
      </c>
      <c r="F97" s="20" t="s">
        <v>642</v>
      </c>
      <c r="G97" s="20" t="s">
        <v>643</v>
      </c>
      <c r="H97" s="20" t="s">
        <v>644</v>
      </c>
      <c r="I97" s="22" t="s">
        <v>115</v>
      </c>
      <c r="J97" s="20" t="s">
        <v>645</v>
      </c>
      <c r="K97" s="20" t="s">
        <v>148</v>
      </c>
      <c r="L97" s="20" t="s">
        <v>646</v>
      </c>
    </row>
    <row r="98" customFormat="false" ht="22.35" hidden="false" customHeight="false" outlineLevel="0" collapsed="false">
      <c r="A98" s="15" t="n">
        <v>97</v>
      </c>
      <c r="B98" s="24" t="s">
        <v>12</v>
      </c>
      <c r="C98" s="17" t="s">
        <v>640</v>
      </c>
      <c r="D98" s="18" t="s">
        <v>11</v>
      </c>
      <c r="E98" s="17" t="s">
        <v>647</v>
      </c>
      <c r="F98" s="17" t="s">
        <v>648</v>
      </c>
      <c r="G98" s="17" t="s">
        <v>649</v>
      </c>
      <c r="H98" s="17" t="s">
        <v>650</v>
      </c>
      <c r="I98" s="19" t="s">
        <v>40</v>
      </c>
      <c r="J98" s="17" t="s">
        <v>651</v>
      </c>
      <c r="K98" s="17" t="s">
        <v>652</v>
      </c>
      <c r="L98" s="17" t="s">
        <v>50</v>
      </c>
    </row>
    <row r="99" customFormat="false" ht="22.35" hidden="false" customHeight="false" outlineLevel="0" collapsed="false">
      <c r="A99" s="15" t="n">
        <v>98</v>
      </c>
      <c r="B99" s="24" t="s">
        <v>12</v>
      </c>
      <c r="C99" s="20" t="s">
        <v>640</v>
      </c>
      <c r="D99" s="18" t="s">
        <v>11</v>
      </c>
      <c r="E99" s="20" t="s">
        <v>653</v>
      </c>
      <c r="F99" s="20" t="s">
        <v>654</v>
      </c>
      <c r="G99" s="20" t="s">
        <v>655</v>
      </c>
      <c r="H99" s="20" t="s">
        <v>650</v>
      </c>
      <c r="I99" s="19" t="s">
        <v>40</v>
      </c>
      <c r="J99" s="20" t="s">
        <v>656</v>
      </c>
      <c r="K99" s="20" t="s">
        <v>657</v>
      </c>
      <c r="L99" s="20" t="s">
        <v>658</v>
      </c>
    </row>
    <row r="100" customFormat="false" ht="22.35" hidden="false" customHeight="false" outlineLevel="0" collapsed="false">
      <c r="A100" s="15" t="n">
        <v>99</v>
      </c>
      <c r="B100" s="24" t="s">
        <v>12</v>
      </c>
      <c r="C100" s="17" t="s">
        <v>640</v>
      </c>
      <c r="D100" s="18" t="s">
        <v>11</v>
      </c>
      <c r="E100" s="17" t="s">
        <v>659</v>
      </c>
      <c r="F100" s="17" t="s">
        <v>660</v>
      </c>
      <c r="G100" s="17" t="s">
        <v>661</v>
      </c>
      <c r="H100" s="17" t="s">
        <v>662</v>
      </c>
      <c r="I100" s="21" t="s">
        <v>48</v>
      </c>
      <c r="J100" s="17" t="s">
        <v>663</v>
      </c>
      <c r="K100" s="17" t="s">
        <v>584</v>
      </c>
      <c r="L100" s="17" t="s">
        <v>664</v>
      </c>
    </row>
    <row r="101" customFormat="false" ht="22.35" hidden="false" customHeight="false" outlineLevel="0" collapsed="false">
      <c r="A101" s="15" t="n">
        <v>100</v>
      </c>
      <c r="B101" s="24" t="s">
        <v>12</v>
      </c>
      <c r="C101" s="20" t="s">
        <v>665</v>
      </c>
      <c r="D101" s="18" t="s">
        <v>18</v>
      </c>
      <c r="E101" s="20" t="s">
        <v>666</v>
      </c>
      <c r="F101" s="20" t="s">
        <v>667</v>
      </c>
      <c r="G101" s="20" t="s">
        <v>668</v>
      </c>
      <c r="H101" s="20" t="s">
        <v>669</v>
      </c>
      <c r="I101" s="21" t="s">
        <v>48</v>
      </c>
      <c r="J101" s="20" t="s">
        <v>670</v>
      </c>
      <c r="K101" s="20" t="s">
        <v>671</v>
      </c>
      <c r="L101" s="20" t="s">
        <v>508</v>
      </c>
    </row>
    <row r="102" customFormat="false" ht="22.35" hidden="false" customHeight="false" outlineLevel="0" collapsed="false">
      <c r="A102" s="15" t="n">
        <v>101</v>
      </c>
      <c r="B102" s="24" t="s">
        <v>12</v>
      </c>
      <c r="C102" s="17" t="s">
        <v>665</v>
      </c>
      <c r="D102" s="18" t="s">
        <v>18</v>
      </c>
      <c r="E102" s="17" t="s">
        <v>672</v>
      </c>
      <c r="F102" s="17" t="s">
        <v>673</v>
      </c>
      <c r="G102" s="17" t="s">
        <v>674</v>
      </c>
      <c r="H102" s="17" t="s">
        <v>675</v>
      </c>
      <c r="I102" s="21" t="s">
        <v>48</v>
      </c>
      <c r="J102" s="17" t="s">
        <v>676</v>
      </c>
      <c r="K102" s="17" t="s">
        <v>677</v>
      </c>
      <c r="L102" s="17" t="s">
        <v>50</v>
      </c>
    </row>
    <row r="103" customFormat="false" ht="22.35" hidden="false" customHeight="false" outlineLevel="0" collapsed="false">
      <c r="A103" s="15" t="n">
        <v>102</v>
      </c>
      <c r="B103" s="24" t="s">
        <v>12</v>
      </c>
      <c r="C103" s="20" t="s">
        <v>665</v>
      </c>
      <c r="D103" s="18" t="s">
        <v>18</v>
      </c>
      <c r="E103" s="20" t="s">
        <v>678</v>
      </c>
      <c r="F103" s="20" t="s">
        <v>679</v>
      </c>
      <c r="G103" s="20" t="s">
        <v>680</v>
      </c>
      <c r="H103" s="20" t="s">
        <v>681</v>
      </c>
      <c r="I103" s="21" t="s">
        <v>48</v>
      </c>
      <c r="J103" s="20" t="s">
        <v>682</v>
      </c>
      <c r="K103" s="20" t="s">
        <v>683</v>
      </c>
      <c r="L103" s="20" t="s">
        <v>502</v>
      </c>
    </row>
    <row r="104" customFormat="false" ht="22.35" hidden="false" customHeight="false" outlineLevel="0" collapsed="false">
      <c r="A104" s="15" t="n">
        <v>103</v>
      </c>
      <c r="B104" s="24" t="s">
        <v>12</v>
      </c>
      <c r="C104" s="17" t="s">
        <v>665</v>
      </c>
      <c r="D104" s="18" t="s">
        <v>18</v>
      </c>
      <c r="E104" s="17" t="s">
        <v>684</v>
      </c>
      <c r="F104" s="17" t="s">
        <v>685</v>
      </c>
      <c r="G104" s="17" t="s">
        <v>686</v>
      </c>
      <c r="H104" s="17" t="s">
        <v>687</v>
      </c>
      <c r="I104" s="21" t="s">
        <v>48</v>
      </c>
      <c r="J104" s="17" t="s">
        <v>688</v>
      </c>
      <c r="K104" s="17" t="s">
        <v>689</v>
      </c>
      <c r="L104" s="17" t="s">
        <v>690</v>
      </c>
    </row>
    <row r="105" customFormat="false" ht="22.35" hidden="false" customHeight="false" outlineLevel="0" collapsed="false">
      <c r="A105" s="15" t="n">
        <v>104</v>
      </c>
      <c r="B105" s="24" t="s">
        <v>12</v>
      </c>
      <c r="C105" s="20" t="s">
        <v>665</v>
      </c>
      <c r="D105" s="18" t="s">
        <v>18</v>
      </c>
      <c r="E105" s="20" t="s">
        <v>691</v>
      </c>
      <c r="F105" s="20" t="s">
        <v>692</v>
      </c>
      <c r="G105" s="20" t="s">
        <v>693</v>
      </c>
      <c r="H105" s="20" t="s">
        <v>694</v>
      </c>
      <c r="I105" s="19" t="s">
        <v>40</v>
      </c>
      <c r="J105" s="20" t="s">
        <v>695</v>
      </c>
      <c r="K105" s="20" t="s">
        <v>696</v>
      </c>
      <c r="L105" s="20" t="s">
        <v>697</v>
      </c>
    </row>
    <row r="106" customFormat="false" ht="22.35" hidden="false" customHeight="false" outlineLevel="0" collapsed="false">
      <c r="A106" s="15" t="n">
        <v>105</v>
      </c>
      <c r="B106" s="24" t="s">
        <v>12</v>
      </c>
      <c r="C106" s="17" t="s">
        <v>698</v>
      </c>
      <c r="D106" s="18" t="s">
        <v>18</v>
      </c>
      <c r="E106" s="17" t="s">
        <v>699</v>
      </c>
      <c r="F106" s="17" t="s">
        <v>700</v>
      </c>
      <c r="G106" s="17" t="s">
        <v>701</v>
      </c>
      <c r="H106" s="17" t="s">
        <v>702</v>
      </c>
      <c r="I106" s="21" t="s">
        <v>48</v>
      </c>
      <c r="J106" s="17" t="s">
        <v>703</v>
      </c>
      <c r="K106" s="17" t="s">
        <v>704</v>
      </c>
      <c r="L106" s="17" t="s">
        <v>705</v>
      </c>
    </row>
    <row r="107" customFormat="false" ht="22.35" hidden="false" customHeight="false" outlineLevel="0" collapsed="false">
      <c r="A107" s="15" t="n">
        <v>106</v>
      </c>
      <c r="B107" s="24" t="s">
        <v>12</v>
      </c>
      <c r="C107" s="20" t="s">
        <v>698</v>
      </c>
      <c r="D107" s="18" t="s">
        <v>18</v>
      </c>
      <c r="E107" s="20" t="s">
        <v>706</v>
      </c>
      <c r="F107" s="20" t="s">
        <v>707</v>
      </c>
      <c r="G107" s="20" t="s">
        <v>708</v>
      </c>
      <c r="H107" s="20" t="s">
        <v>262</v>
      </c>
      <c r="I107" s="19" t="s">
        <v>40</v>
      </c>
      <c r="J107" s="20" t="s">
        <v>709</v>
      </c>
      <c r="K107" s="20" t="s">
        <v>696</v>
      </c>
      <c r="L107" s="20" t="s">
        <v>502</v>
      </c>
    </row>
    <row r="108" customFormat="false" ht="22.35" hidden="false" customHeight="false" outlineLevel="0" collapsed="false">
      <c r="A108" s="15" t="n">
        <v>107</v>
      </c>
      <c r="B108" s="24" t="s">
        <v>12</v>
      </c>
      <c r="C108" s="17" t="s">
        <v>698</v>
      </c>
      <c r="D108" s="18" t="s">
        <v>18</v>
      </c>
      <c r="E108" s="17" t="s">
        <v>710</v>
      </c>
      <c r="F108" s="17" t="s">
        <v>711</v>
      </c>
      <c r="G108" s="17" t="s">
        <v>712</v>
      </c>
      <c r="H108" s="17" t="s">
        <v>713</v>
      </c>
      <c r="I108" s="21" t="s">
        <v>48</v>
      </c>
      <c r="J108" s="17" t="s">
        <v>714</v>
      </c>
      <c r="K108" s="17" t="s">
        <v>715</v>
      </c>
      <c r="L108" s="17" t="s">
        <v>110</v>
      </c>
    </row>
    <row r="109" customFormat="false" ht="22.35" hidden="false" customHeight="false" outlineLevel="0" collapsed="false">
      <c r="A109" s="15" t="n">
        <v>108</v>
      </c>
      <c r="B109" s="24" t="s">
        <v>12</v>
      </c>
      <c r="C109" s="20" t="s">
        <v>698</v>
      </c>
      <c r="D109" s="18" t="s">
        <v>18</v>
      </c>
      <c r="E109" s="20" t="s">
        <v>716</v>
      </c>
      <c r="F109" s="20" t="s">
        <v>717</v>
      </c>
      <c r="G109" s="20" t="s">
        <v>718</v>
      </c>
      <c r="H109" s="20" t="s">
        <v>719</v>
      </c>
      <c r="I109" s="21" t="s">
        <v>48</v>
      </c>
      <c r="J109" s="20" t="s">
        <v>720</v>
      </c>
      <c r="K109" s="20" t="s">
        <v>696</v>
      </c>
      <c r="L109" s="20" t="s">
        <v>721</v>
      </c>
    </row>
    <row r="110" customFormat="false" ht="22.35" hidden="false" customHeight="false" outlineLevel="0" collapsed="false">
      <c r="A110" s="15" t="n">
        <v>109</v>
      </c>
      <c r="B110" s="24" t="s">
        <v>12</v>
      </c>
      <c r="C110" s="17" t="s">
        <v>698</v>
      </c>
      <c r="D110" s="18" t="s">
        <v>18</v>
      </c>
      <c r="E110" s="17" t="s">
        <v>722</v>
      </c>
      <c r="F110" s="17" t="s">
        <v>723</v>
      </c>
      <c r="G110" s="17" t="s">
        <v>724</v>
      </c>
      <c r="H110" s="17" t="s">
        <v>675</v>
      </c>
      <c r="I110" s="21" t="s">
        <v>48</v>
      </c>
      <c r="J110" s="17" t="s">
        <v>725</v>
      </c>
      <c r="K110" s="17" t="s">
        <v>570</v>
      </c>
      <c r="L110" s="17" t="s">
        <v>502</v>
      </c>
    </row>
    <row r="111" customFormat="false" ht="22.35" hidden="false" customHeight="false" outlineLevel="0" collapsed="false">
      <c r="A111" s="15" t="n">
        <v>110</v>
      </c>
      <c r="B111" s="24" t="s">
        <v>12</v>
      </c>
      <c r="C111" s="20" t="s">
        <v>698</v>
      </c>
      <c r="D111" s="18" t="s">
        <v>18</v>
      </c>
      <c r="E111" s="20" t="s">
        <v>726</v>
      </c>
      <c r="F111" s="20" t="s">
        <v>727</v>
      </c>
      <c r="G111" s="20" t="s">
        <v>728</v>
      </c>
      <c r="H111" s="20" t="s">
        <v>729</v>
      </c>
      <c r="I111" s="21" t="s">
        <v>48</v>
      </c>
      <c r="J111" s="20" t="s">
        <v>730</v>
      </c>
      <c r="K111" s="20" t="s">
        <v>731</v>
      </c>
      <c r="L111" s="20" t="s">
        <v>732</v>
      </c>
    </row>
    <row r="112" customFormat="false" ht="22.35" hidden="false" customHeight="false" outlineLevel="0" collapsed="false">
      <c r="A112" s="15" t="n">
        <v>111</v>
      </c>
      <c r="B112" s="24" t="s">
        <v>12</v>
      </c>
      <c r="C112" s="17" t="s">
        <v>733</v>
      </c>
      <c r="D112" s="18" t="s">
        <v>20</v>
      </c>
      <c r="E112" s="17" t="s">
        <v>734</v>
      </c>
      <c r="F112" s="17" t="s">
        <v>735</v>
      </c>
      <c r="G112" s="17" t="s">
        <v>736</v>
      </c>
      <c r="H112" s="17" t="s">
        <v>737</v>
      </c>
      <c r="I112" s="19" t="s">
        <v>40</v>
      </c>
      <c r="J112" s="17" t="s">
        <v>738</v>
      </c>
      <c r="K112" s="17" t="s">
        <v>109</v>
      </c>
      <c r="L112" s="17" t="s">
        <v>739</v>
      </c>
    </row>
    <row r="113" customFormat="false" ht="22.35" hidden="false" customHeight="false" outlineLevel="0" collapsed="false">
      <c r="A113" s="15" t="n">
        <v>112</v>
      </c>
      <c r="B113" s="24" t="s">
        <v>12</v>
      </c>
      <c r="C113" s="20" t="s">
        <v>733</v>
      </c>
      <c r="D113" s="18" t="s">
        <v>20</v>
      </c>
      <c r="E113" s="20" t="s">
        <v>740</v>
      </c>
      <c r="F113" s="20" t="s">
        <v>150</v>
      </c>
      <c r="G113" s="20" t="s">
        <v>741</v>
      </c>
      <c r="H113" s="20" t="s">
        <v>184</v>
      </c>
      <c r="I113" s="21" t="s">
        <v>48</v>
      </c>
      <c r="J113" s="20" t="s">
        <v>742</v>
      </c>
      <c r="K113" s="20" t="s">
        <v>743</v>
      </c>
      <c r="L113" s="20" t="s">
        <v>744</v>
      </c>
    </row>
    <row r="114" customFormat="false" ht="22.35" hidden="false" customHeight="false" outlineLevel="0" collapsed="false">
      <c r="A114" s="15" t="n">
        <v>113</v>
      </c>
      <c r="B114" s="24" t="s">
        <v>12</v>
      </c>
      <c r="C114" s="17" t="s">
        <v>733</v>
      </c>
      <c r="D114" s="18" t="s">
        <v>20</v>
      </c>
      <c r="E114" s="17" t="s">
        <v>745</v>
      </c>
      <c r="F114" s="17" t="s">
        <v>746</v>
      </c>
      <c r="G114" s="17" t="s">
        <v>747</v>
      </c>
      <c r="H114" s="17" t="s">
        <v>748</v>
      </c>
      <c r="I114" s="21" t="s">
        <v>48</v>
      </c>
      <c r="J114" s="17" t="s">
        <v>749</v>
      </c>
      <c r="K114" s="17" t="s">
        <v>750</v>
      </c>
      <c r="L114" s="17" t="s">
        <v>482</v>
      </c>
    </row>
    <row r="115" customFormat="false" ht="22.35" hidden="false" customHeight="false" outlineLevel="0" collapsed="false">
      <c r="A115" s="15" t="n">
        <v>114</v>
      </c>
      <c r="B115" s="24" t="s">
        <v>12</v>
      </c>
      <c r="C115" s="20" t="s">
        <v>733</v>
      </c>
      <c r="D115" s="18" t="s">
        <v>20</v>
      </c>
      <c r="E115" s="20" t="s">
        <v>751</v>
      </c>
      <c r="F115" s="20" t="s">
        <v>752</v>
      </c>
      <c r="G115" s="20" t="s">
        <v>753</v>
      </c>
      <c r="H115" s="20" t="s">
        <v>687</v>
      </c>
      <c r="I115" s="21" t="s">
        <v>48</v>
      </c>
      <c r="J115" s="20" t="s">
        <v>754</v>
      </c>
      <c r="K115" s="20" t="s">
        <v>755</v>
      </c>
      <c r="L115" s="20" t="s">
        <v>50</v>
      </c>
    </row>
    <row r="116" customFormat="false" ht="22.35" hidden="false" customHeight="false" outlineLevel="0" collapsed="false">
      <c r="A116" s="15" t="n">
        <v>115</v>
      </c>
      <c r="B116" s="24" t="s">
        <v>12</v>
      </c>
      <c r="C116" s="17" t="s">
        <v>733</v>
      </c>
      <c r="D116" s="18" t="s">
        <v>20</v>
      </c>
      <c r="E116" s="17" t="s">
        <v>756</v>
      </c>
      <c r="F116" s="17" t="s">
        <v>757</v>
      </c>
      <c r="G116" s="17" t="s">
        <v>758</v>
      </c>
      <c r="H116" s="17" t="s">
        <v>759</v>
      </c>
      <c r="I116" s="19" t="s">
        <v>40</v>
      </c>
      <c r="J116" s="17" t="s">
        <v>760</v>
      </c>
      <c r="K116" s="17" t="s">
        <v>761</v>
      </c>
      <c r="L116" s="17" t="s">
        <v>762</v>
      </c>
    </row>
    <row r="117" customFormat="false" ht="22.35" hidden="false" customHeight="false" outlineLevel="0" collapsed="false">
      <c r="A117" s="15" t="n">
        <v>116</v>
      </c>
      <c r="B117" s="24" t="s">
        <v>12</v>
      </c>
      <c r="C117" s="20" t="s">
        <v>733</v>
      </c>
      <c r="D117" s="18" t="s">
        <v>20</v>
      </c>
      <c r="E117" s="20" t="s">
        <v>763</v>
      </c>
      <c r="F117" s="20" t="s">
        <v>764</v>
      </c>
      <c r="G117" s="20" t="s">
        <v>765</v>
      </c>
      <c r="H117" s="20" t="s">
        <v>262</v>
      </c>
      <c r="I117" s="21" t="s">
        <v>48</v>
      </c>
      <c r="J117" s="20" t="s">
        <v>766</v>
      </c>
      <c r="K117" s="20" t="s">
        <v>160</v>
      </c>
      <c r="L117" s="20" t="s">
        <v>508</v>
      </c>
    </row>
    <row r="118" customFormat="false" ht="22.35" hidden="false" customHeight="false" outlineLevel="0" collapsed="false">
      <c r="A118" s="15" t="n">
        <v>117</v>
      </c>
      <c r="B118" s="24" t="s">
        <v>12</v>
      </c>
      <c r="C118" s="17" t="s">
        <v>767</v>
      </c>
      <c r="D118" s="18" t="s">
        <v>21</v>
      </c>
      <c r="E118" s="17" t="s">
        <v>768</v>
      </c>
      <c r="F118" s="17" t="s">
        <v>769</v>
      </c>
      <c r="G118" s="17" t="s">
        <v>770</v>
      </c>
      <c r="H118" s="17" t="s">
        <v>771</v>
      </c>
      <c r="I118" s="19" t="s">
        <v>40</v>
      </c>
      <c r="J118" s="17" t="s">
        <v>772</v>
      </c>
      <c r="K118" s="17" t="s">
        <v>773</v>
      </c>
      <c r="L118" s="17" t="s">
        <v>774</v>
      </c>
    </row>
    <row r="119" customFormat="false" ht="22.35" hidden="false" customHeight="false" outlineLevel="0" collapsed="false">
      <c r="A119" s="15" t="n">
        <v>118</v>
      </c>
      <c r="B119" s="24" t="s">
        <v>12</v>
      </c>
      <c r="C119" s="20" t="s">
        <v>767</v>
      </c>
      <c r="D119" s="18" t="s">
        <v>21</v>
      </c>
      <c r="E119" s="20" t="s">
        <v>775</v>
      </c>
      <c r="F119" s="20" t="s">
        <v>776</v>
      </c>
      <c r="G119" s="20" t="s">
        <v>777</v>
      </c>
      <c r="H119" s="20" t="s">
        <v>778</v>
      </c>
      <c r="I119" s="19" t="s">
        <v>40</v>
      </c>
      <c r="J119" s="20" t="s">
        <v>779</v>
      </c>
      <c r="K119" s="20" t="s">
        <v>514</v>
      </c>
      <c r="L119" s="20" t="s">
        <v>258</v>
      </c>
    </row>
    <row r="120" customFormat="false" ht="22.35" hidden="false" customHeight="false" outlineLevel="0" collapsed="false">
      <c r="A120" s="15" t="n">
        <v>119</v>
      </c>
      <c r="B120" s="24" t="s">
        <v>12</v>
      </c>
      <c r="C120" s="17" t="s">
        <v>767</v>
      </c>
      <c r="D120" s="18" t="s">
        <v>21</v>
      </c>
      <c r="E120" s="17" t="s">
        <v>780</v>
      </c>
      <c r="F120" s="17" t="s">
        <v>781</v>
      </c>
      <c r="G120" s="17" t="s">
        <v>782</v>
      </c>
      <c r="H120" s="17" t="s">
        <v>783</v>
      </c>
      <c r="I120" s="21" t="s">
        <v>48</v>
      </c>
      <c r="J120" s="17" t="s">
        <v>784</v>
      </c>
      <c r="K120" s="17" t="s">
        <v>785</v>
      </c>
      <c r="L120" s="17" t="s">
        <v>218</v>
      </c>
    </row>
    <row r="121" customFormat="false" ht="22.35" hidden="false" customHeight="false" outlineLevel="0" collapsed="false">
      <c r="A121" s="15" t="n">
        <v>120</v>
      </c>
      <c r="B121" s="24" t="s">
        <v>12</v>
      </c>
      <c r="C121" s="20" t="s">
        <v>767</v>
      </c>
      <c r="D121" s="18" t="s">
        <v>21</v>
      </c>
      <c r="E121" s="20" t="s">
        <v>786</v>
      </c>
      <c r="F121" s="20" t="s">
        <v>260</v>
      </c>
      <c r="G121" s="20" t="s">
        <v>787</v>
      </c>
      <c r="H121" s="20" t="s">
        <v>262</v>
      </c>
      <c r="I121" s="19" t="s">
        <v>40</v>
      </c>
      <c r="J121" s="20" t="s">
        <v>788</v>
      </c>
      <c r="K121" s="20" t="s">
        <v>148</v>
      </c>
      <c r="L121" s="20" t="s">
        <v>264</v>
      </c>
    </row>
    <row r="122" customFormat="false" ht="32.8" hidden="false" customHeight="false" outlineLevel="0" collapsed="false">
      <c r="A122" s="15" t="n">
        <v>121</v>
      </c>
      <c r="B122" s="24" t="s">
        <v>12</v>
      </c>
      <c r="C122" s="17" t="s">
        <v>767</v>
      </c>
      <c r="D122" s="18" t="s">
        <v>21</v>
      </c>
      <c r="E122" s="17" t="s">
        <v>789</v>
      </c>
      <c r="F122" s="17" t="s">
        <v>790</v>
      </c>
      <c r="G122" s="17" t="s">
        <v>791</v>
      </c>
      <c r="H122" s="17" t="s">
        <v>792</v>
      </c>
      <c r="I122" s="19" t="s">
        <v>40</v>
      </c>
      <c r="J122" s="17" t="s">
        <v>793</v>
      </c>
      <c r="K122" s="17" t="s">
        <v>794</v>
      </c>
      <c r="L122" s="17" t="s">
        <v>795</v>
      </c>
    </row>
    <row r="123" customFormat="false" ht="22.35" hidden="false" customHeight="false" outlineLevel="0" collapsed="false">
      <c r="A123" s="15" t="n">
        <v>122</v>
      </c>
      <c r="B123" s="24" t="s">
        <v>12</v>
      </c>
      <c r="C123" s="20" t="s">
        <v>767</v>
      </c>
      <c r="D123" s="18" t="s">
        <v>21</v>
      </c>
      <c r="E123" s="20" t="s">
        <v>796</v>
      </c>
      <c r="F123" s="20" t="s">
        <v>797</v>
      </c>
      <c r="G123" s="20" t="s">
        <v>798</v>
      </c>
      <c r="H123" s="20" t="s">
        <v>799</v>
      </c>
      <c r="I123" s="21" t="s">
        <v>48</v>
      </c>
      <c r="J123" s="20" t="s">
        <v>800</v>
      </c>
      <c r="K123" s="20" t="s">
        <v>801</v>
      </c>
      <c r="L123" s="20" t="s">
        <v>50</v>
      </c>
    </row>
  </sheetData>
  <autoFilter ref="A1:L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2026-06-20T04:49:27Z</dcterms:created>
  <dc:creator>openpyxl</dc:creator>
  <dc:description/>
  <dc:language>en-US</dc:language>
  <cp:lastModifiedBy/>
  <dcterms:modified xsi:type="dcterms:W3CDTF">2026-06-20T04:49:27Z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